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I1" authorId="0">
      <text>
        <r>
          <rPr>
            <sz val="10"/>
            <color rgb="FF000000"/>
            <rFont val="Arial"/>
            <family val="0"/>
            <charset val="1"/>
          </rPr>
          <t xml:space="preserve">A study that is not about vocabularies or glossaries, or is  not about LGBTQ+ research.</t>
        </r>
      </text>
    </comment>
    <comment ref="J1" authorId="0">
      <text>
        <r>
          <rPr>
            <sz val="10"/>
            <color rgb="FF000000"/>
            <rFont val="Arial"/>
            <family val="0"/>
            <charset val="1"/>
          </rPr>
          <t xml:space="preserve">Secondary or tertiary studies (e.g., systematic literature reviews, surveys, etc.)</t>
        </r>
      </text>
    </comment>
    <comment ref="K1" authorId="0">
      <text>
        <r>
          <rPr>
            <sz val="10"/>
            <color rgb="FF000000"/>
            <rFont val="Arial"/>
            <family val="0"/>
            <charset val="1"/>
          </rPr>
          <t xml:space="preserve">Duplicated papers or extensions of already included papers.</t>
        </r>
      </text>
    </comment>
    <comment ref="L1" authorId="0">
      <text>
        <r>
          <rPr>
            <sz val="10"/>
            <color rgb="FF000000"/>
            <rFont val="Arial"/>
            <family val="0"/>
            <charset val="1"/>
          </rPr>
          <t xml:space="preserve">A study whose full text is not available.</t>
        </r>
      </text>
    </comment>
    <comment ref="M1" authorId="0">
      <text>
        <r>
          <rPr>
            <sz val="10"/>
            <color rgb="FF000000"/>
            <rFont val="Arial"/>
            <family val="0"/>
            <charset val="1"/>
          </rPr>
          <t xml:space="preserve">A study that is about applications/use of vocabularies/glossaries for LGBTQ+ research.</t>
        </r>
      </text>
    </comment>
  </commentList>
</comments>
</file>

<file path=xl/sharedStrings.xml><?xml version="1.0" encoding="utf-8"?>
<sst xmlns="http://schemas.openxmlformats.org/spreadsheetml/2006/main" count="205" uniqueCount="204">
  <si>
    <t xml:space="preserve">ID</t>
  </si>
  <si>
    <t xml:space="preserve">YEAR</t>
  </si>
  <si>
    <t xml:space="preserve">TITLE</t>
  </si>
  <si>
    <t xml:space="preserve">AUTHORS</t>
  </si>
  <si>
    <t xml:space="preserve">Journal, Conference or
Publisher (for books)</t>
  </si>
  <si>
    <t xml:space="preserve">DOI</t>
  </si>
  <si>
    <t xml:space="preserve">URL</t>
  </si>
  <si>
    <t xml:space="preserve">KEYWORDS</t>
  </si>
  <si>
    <t xml:space="preserve">E1</t>
  </si>
  <si>
    <t xml:space="preserve">E2</t>
  </si>
  <si>
    <t xml:space="preserve">E3</t>
  </si>
  <si>
    <t xml:space="preserve">E4</t>
  </si>
  <si>
    <t xml:space="preserve">I1</t>
  </si>
  <si>
    <t xml:space="preserve">Included?</t>
  </si>
  <si>
    <t xml:space="preserve">Use/Applications</t>
  </si>
  <si>
    <t xml:space="preserve">Development of the Gender, Sex, and Sexual 
Orientation ontology: Evaluation and workflow</t>
  </si>
  <si>
    <t xml:space="preserve">Clair A Kronk, 
Judith W Dexheimer</t>
  </si>
  <si>
    <t xml:space="preserve">Journal of the American 
Medical Informatics Association</t>
  </si>
  <si>
    <t xml:space="preserve">https://doi.org/10.1093/jamia/ocaa061</t>
  </si>
  <si>
    <t xml:space="preserve">https://academic.oup.com/jamia/
article-abstract/27/7/1110/5858296?
redirectedFrom=fulltext</t>
  </si>
  <si>
    <t xml:space="preserve">biological ontologies, gender 
and sexual minorities, sex, 
gender identity, sexual behavior</t>
  </si>
  <si>
    <t xml:space="preserve">Gender and sexual orientation continue to represent crucial areas 
of medical practice and research with evolving terminology. 
The GSSO helps address this gap by providing a centralized data resource.</t>
  </si>
  <si>
    <t xml:space="preserve">Gender, Sex and Sexual Orientation in 
Medicine: A Linguistic Analysis</t>
  </si>
  <si>
    <t xml:space="preserve">Clair A Kronk</t>
  </si>
  <si>
    <t xml:space="preserve">University of Cincinnati School 
of Medicine. Ph.D. Thesis</t>
  </si>
  <si>
    <t xml:space="preserve">http://rave.ohiolink.edu/etdc/view?acc_num=
ucin1617107411106107</t>
  </si>
  <si>
    <t xml:space="preserve">https://etd.ohiolink.edu/apexprod/rws
_etd/send_file/send?accession=ucin
1617107411106107&amp;disposition=inline</t>
  </si>
  <si>
    <t xml:space="preserve">Gender; Sex; Sexual orientation; 
Ontology; Electronic health record; 
LGBTQIA</t>
  </si>
  <si>
    <t xml:space="preserve">LGBTQIA+ discrimination is also prevalent in healthcare. Such negative experiences are 
often connected to language use.Current provider education on LGBTQIA+ topics is lacking.
A first step to addressing health disparities is to adequately model domain-specific linguistic knowledge</t>
  </si>
  <si>
    <t xml:space="preserve">Creating a Queer Ontology: Introduction of 
the Gender, Sex, and Sexual Orientation 
(GSSO) Ontology.</t>
  </si>
  <si>
    <t xml:space="preserve">Clair Kronk, 
Giao Q. Tran, 
Danny T.Y. Wu</t>
  </si>
  <si>
    <t xml:space="preserve">MEDINFO 2019: Health and 
Wellbeing e-Networks for All</t>
  </si>
  <si>
    <t xml:space="preserve">https://doi.org/10.3233/SHTI190213</t>
  </si>
  <si>
    <t xml:space="preserve">https://pubmed.ncbi.nlm.nih.gov/31437915/</t>
  </si>
  <si>
    <t xml:space="preserve">Linguistic, Sexual and Gender 
Minorities; Social Determinants 
of Health</t>
  </si>
  <si>
    <t xml:space="preserve">In an effort to provide a reliable resource for patients and clinicians.</t>
  </si>
  <si>
    <t xml:space="preserve">The Utility of Clinical Notes for Sexual Minority 
Health Research</t>
  </si>
  <si>
    <t xml:space="preserve">Kristine E. Lynch,
Patrick R. Alba,
Olga V. Patterson,
Benjamin Viernes,
Gregorio Coronado,
Scott L. DuVall</t>
  </si>
  <si>
    <t xml:space="preserve">American Journal of 
Preventive Medicine</t>
  </si>
  <si>
    <t xml:space="preserve">https://doi.org/10.1016/j.amepre.2020.05.026</t>
  </si>
  <si>
    <t xml:space="preserve">https://www.ajpmonline.org/article/S0749-
3797(20)30277-4/fulltext</t>
  </si>
  <si>
    <t xml:space="preserve">A research about terms and phrases related to sexual orientation in Veterans Health Administration clinical
notes from 2000 to 2019. No vocabularies/Glossaries mentioned.</t>
  </si>
  <si>
    <t xml:space="preserve">Cultural Humility as a Framework for 
Anti-Oppressive Archival Description</t>
  </si>
  <si>
    <t xml:space="preserve">Jessica Tai </t>
  </si>
  <si>
    <t xml:space="preserve">Journal of Critical Library and 
Information Studies</t>
  </si>
  <si>
    <t xml:space="preserve">https://doi.org/10.24242/jclis.v3i2.120</t>
  </si>
  <si>
    <t xml:space="preserve">https://journals.litwinbooks.com/index.php/
jclis/article/view/120/75</t>
  </si>
  <si>
    <t xml:space="preserve">Creative Arts Therapies and the LGBTQ
 Community: Theory and Practice</t>
  </si>
  <si>
    <t xml:space="preserve">Briana MacWilliam,
Brian T Harris,
Dana George Trottier,
Kristin Long</t>
  </si>
  <si>
    <t xml:space="preserve">Jessica Kingsley Publishers</t>
  </si>
  <si>
    <t xml:space="preserve">https://doi.org/10.1093/jmt/thab004</t>
  </si>
  <si>
    <t xml:space="preserve">https://books.google.gr/books?hl=en&amp;lr=&amp;id
=eIyIDwAAQBAJ&amp;oi=fnd&amp;pg=PA255&amp;dq=
lgbtq+glossary&amp;ots=JlwH7XYccI&amp;sig=RTS4
KXXcz1bA0_ALLXxqLd_euk8&amp;redir_esc=y#v
=onepage&amp;q&amp;f=false</t>
  </si>
  <si>
    <t xml:space="preserve">Translating Queer Identities: A Glossary
of Terms</t>
  </si>
  <si>
    <t xml:space="preserve">Michaela Čudová</t>
  </si>
  <si>
    <t xml:space="preserve">Master's Thesis</t>
  </si>
  <si>
    <t xml:space="preserve">https://is.muni.cz/th/nw8pd/Translating_
Queer_Identities_-_A_Glossary_of_Terms.pdf</t>
  </si>
  <si>
    <t xml:space="preserve">LGBT, gender, sexual orientation, 
queer studies, translation,
terminology, specialized languages</t>
  </si>
  <si>
    <t xml:space="preserve">the creation of a bilingual glossary of terms describing the minority sexual and gender identities 
present within the LGBTQ+ spectrum using the English and Czech languages. Also, to provide a 
terminological resource which could match similar resources produced in English both in the volume 
and quality of information.</t>
  </si>
  <si>
    <t xml:space="preserve">Digital Humanities and Inclusive Librarianship: 
Designing aCollaborative, Multi-lingual, 
Skos-compliant Linked Open Vocabulary for
LGBTQIA+</t>
  </si>
  <si>
    <t xml:space="preserve">Parthasarathi Mukhopadhyay,
Roshni Mitra</t>
  </si>
  <si>
    <t xml:space="preserve">Indian Journal of Information, 
Library and Society</t>
  </si>
  <si>
    <t xml:space="preserve">https://zenodo.org/record/6814869#.Y9UmGa3MJPY</t>
  </si>
  <si>
    <t xml:space="preserve">VocBench; Skosmos; SKOS;
 Linked open vocabulary; GraphDB; 
Fuseki;SemanticTurkey; LGBTQIA</t>
  </si>
  <si>
    <t xml:space="preserve">attempts to create a collaborative, multilingual, standards compliant linked open vocabulary system
for LGBTQIA+ domain by the application of open source software and open standard.</t>
  </si>
  <si>
    <t xml:space="preserve">Multilingual LGBTQ+ Youth: Queer Language 
and Identity
How and Why Multilingual LGBTQ+ Youth in
Dutch Cities Use ‘Queer’ Language</t>
  </si>
  <si>
    <t xml:space="preserve">Abigail Lambert</t>
  </si>
  <si>
    <t xml:space="preserve">Thesis for Master of Arts in 
Linguistics, 
LEIDEN UNIVERSITY</t>
  </si>
  <si>
    <t xml:space="preserve">https://studenttheses.universiteitleiden.nl/access/item%
3A2711536/view</t>
  </si>
  <si>
    <t xml:space="preserve">Multilingualism, ‘Queer’ Language, 
LGBT Linguistics, Identity, 
Sexuality, Gender</t>
  </si>
  <si>
    <t xml:space="preserve">To investigate the ways in which multilingual Lesbian Gay Bisexual Transgender Queer/Questioning+ 
(LGBTQ+) youth in Dutch cities make use of English originating ‘queer’ language and why they utilise it.</t>
  </si>
  <si>
    <t xml:space="preserve">Queer, Latinx, and Bilingual Narrative 
Resources in the Negotiation of Identities</t>
  </si>
  <si>
    <t xml:space="preserve">Holly Cashman,
Marilyn Martin-Jones</t>
  </si>
  <si>
    <t xml:space="preserve">Routledge, New York</t>
  </si>
  <si>
    <t xml:space="preserve">https://doi.org/10.4324/9781315816906</t>
  </si>
  <si>
    <t xml:space="preserve">https://www.taylorfrancis.com/books/mono/10.4324/97813158
16906/queer-latinx-bilingual-holly-cashman-marilyn-martin
-jones</t>
  </si>
  <si>
    <t xml:space="preserve">Area Studies, Humanities, 
Language &amp; Literature, Social Sciences</t>
  </si>
  <si>
    <t xml:space="preserve">Decreasing Barriers to Sexual Health in the 
Lesbian, Gay, Bisexual, Transgender, and 
Queer Community</t>
  </si>
  <si>
    <t xml:space="preserve">Justin M. Waryold, 
Allyson Kornahrens</t>
  </si>
  <si>
    <t xml:space="preserve">Nursing Clinics of North
America, 55(3), 393–402.</t>
  </si>
  <si>
    <t xml:space="preserve">https://doi.org/10.1016/j.cnur.2020.06.003</t>
  </si>
  <si>
    <t xml:space="preserve">https://www.nursing.theclinics.com/article/S0029-6465(20)
30035-9/</t>
  </si>
  <si>
    <t xml:space="preserve">Bisexual, Cultural awareness, Gay,
Lesbian, Provider bias, Queer,
Sexual health, Transgender.</t>
  </si>
  <si>
    <t xml:space="preserve">To eradicate barriers to care for LGBTQ+ people by providers, Alterations to the intake process and 
medical intake forms will support the patient’s sense of belonging, using a systematic approach for obtaining 
a sexual health history, providers can attain relevant clinical information in a culturally competent manner</t>
  </si>
  <si>
    <t xml:space="preserve">Affirming Language use When Providing 
Health Care for and Writing About 
Childbearing Familieswho Identify as LGBTQI+</t>
  </si>
  <si>
    <t xml:space="preserve">Laura J. Duckett,
Maria Ruud</t>
  </si>
  <si>
    <t xml:space="preserve">Journal of Human Lactation</t>
  </si>
  <si>
    <t xml:space="preserve">https://doi.org/10.1177/0890334419830985</t>
  </si>
  <si>
    <t xml:space="preserve">https://journals.sagepub.com/doi/abs/10.1177/0890334419830985</t>
  </si>
  <si>
    <t xml:space="preserve">Affirming Language, Breastfeeding, 
Chestfeeding, Childbearing, Lactation,
LGBTQI+</t>
  </si>
  <si>
    <t xml:space="preserve">Describe the role of inclusive interpersonal communication between health care professionals and 
childbearing persons identifying as LGBTQI+ in creating a welcoming and affirming environment 
for these populations.</t>
  </si>
  <si>
    <t xml:space="preserve">What is “LGBTQ+” Information? 
Interdisciplinary Connections</t>
  </si>
  <si>
    <t xml:space="preserve">Bharat Mehra</t>
  </si>
  <si>
    <t xml:space="preserve">LGBTQ+ Librarianship in the 21st
Century: Emerging Directions of 
Advocacy and Community 
Engagement in Diverse 
Information Environments, 
Volume 45, 15–47</t>
  </si>
  <si>
    <t xml:space="preserve">https://doi.org/10.1108/S0065-283020190000045002</t>
  </si>
  <si>
    <t xml:space="preserve">https://www.emerald.com/insight/content/doi/
10.1108/S0065-283020190000045002/full/html</t>
  </si>
  <si>
    <t xml:space="preserve">Interdisciplinary connections; LGBTQ+; 
language of human sexuality; theoretical 
perspectives; theories and concepts;
implications for LIS</t>
  </si>
  <si>
    <t xml:space="preserve">It helps better understand the scope of what is LGBTQ+ information and traces its interdisciplinary 
connections to reflect on its place within the Library and Information Sciences (LIS) professions. 
The chapter discusses these implications with the expectation of the LIS professional to take concrete 
actions in changing the conditions that lack fairness, equality/equity, justice, and/or human rights
for LGBTQ+ people via the use of information. </t>
  </si>
  <si>
    <t xml:space="preserve">“Big Data” Bias in LGBTQ Research</t>
  </si>
  <si>
    <t xml:space="preserve">Lisa Chauveron</t>
  </si>
  <si>
    <t xml:space="preserve">Book Title: The SAGE 
Encyclopedia of LGBTQ Studies
SAGE Publications, Inc.</t>
  </si>
  <si>
    <t xml:space="preserve">http://dx.doi.org/10.4135/9781483371283.n45</t>
  </si>
  <si>
    <t xml:space="preserve">https://www.researchgate.net/publication
/303838314_Big_Data_Bias_in_LGBTQ_Research</t>
  </si>
  <si>
    <t xml:space="preserve">bias; big data</t>
  </si>
  <si>
    <t xml:space="preserve">Towards Offensive Language Identification for 
Tamil Code-Mixed YouTube Comments and 
Posts</t>
  </si>
  <si>
    <t xml:space="preserve">Charangan Vasantharajan,
Uthayasanker Thayasivam</t>
  </si>
  <si>
    <t xml:space="preserve">SN Computer Science manuscript,
Volume 3</t>
  </si>
  <si>
    <t xml:space="preserve">https://doi.org/10.1007/s42979-021-00977-y</t>
  </si>
  <si>
    <t xml:space="preserve">https://arxiv.org/abs/2108.10939</t>
  </si>
  <si>
    <t xml:space="preserve">Offensive Language, Code-Mixed,
Transformers, Tamil</t>
  </si>
  <si>
    <t xml:space="preserve">To detect offensive content on YouTube.</t>
  </si>
  <si>
    <t xml:space="preserve">Dataset for Identification of Homophobia and
Transophobia in Multilingual YouTube 
Comments</t>
  </si>
  <si>
    <t xml:space="preserve">Bharathi Raja Chakravarthi, 
Ruba Priyadharshini, 
Rahul Ponnusamy, 
Prasanna Kumar Kumaresan, 
Kayalvizhi Sampath, 
Durairaj Thenmozhi, 
Sathiyaraj Thangasamy, 
Rajendran Nallathambi, 
John Phillip McCrae</t>
  </si>
  <si>
    <t xml:space="preserve">Natural Language Engineering 
(2021), 1–00</t>
  </si>
  <si>
    <t xml:space="preserve">https://doi.org/10.48550/arXiv.2109.00227</t>
  </si>
  <si>
    <t xml:space="preserve">https://arxiv.org/abs/2109.00227</t>
  </si>
  <si>
    <t xml:space="preserve">Computation and Language (cs.CL), 
FOS: Computer and information sciences, 
FOS: Computer and information sciences</t>
  </si>
  <si>
    <t xml:space="preserve">Homophobic/transphobic content to be automatically identified so it can be removed.</t>
  </si>
  <si>
    <t xml:space="preserve">SSNCSE_NLP@LT-EDI-ACL2022: 
Homophobia/Transphobia Detection in
Multiple Languages using SVM Classifiers 
and BERT-based Transformers</t>
  </si>
  <si>
    <t xml:space="preserve">Krithika Swaminathan, 
Bharathi B, 
Gayathri G L, 
Hrishik Sampath</t>
  </si>
  <si>
    <t xml:space="preserve">Proceedings of the Second 
Workshop on Language Technology 
for Equality, Diversity and Inclusion, 
pages 239–244, Dublin, Ireland.</t>
  </si>
  <si>
    <t xml:space="preserve">http://dx.doi.org/10.18653/v1/2022.ltedi-1.34</t>
  </si>
  <si>
    <t xml:space="preserve">https://aclanthology.org/2022.ltedi-1.34/</t>
  </si>
  <si>
    <t xml:space="preserve">Detection of homophobic comments on social media can be useful in making the internet a safer place 
for everyone.</t>
  </si>
  <si>
    <t xml:space="preserve">On Overlap and Otherness: A Comparison of 
Three Vocabularies’ Approaches to LGBTQ+ 
Identity</t>
  </si>
  <si>
    <t xml:space="preserve">Brian Dobreski, 
Karen Snow, 
Heather Moulaison-Sandy</t>
  </si>
  <si>
    <t xml:space="preserve">Cataloging &amp; Classification 
Quarterly, 60:6-7, 490-513</t>
  </si>
  <si>
    <t xml:space="preserve">https://doi.org/10.1080/01639374.2022.2090040</t>
  </si>
  <si>
    <t xml:space="preserve">https://www.tandfonline.com/doi/abs/10.1080
/01639374.2022.2090040?journalCode=wccq20</t>
  </si>
  <si>
    <t xml:space="preserve">Homosaurus; Library of Congress Subject
Headings (LCSH); Library of Congress 
Demographic Group Terms (LCDGT);
surrogates; LGBTQ+ community; identity</t>
  </si>
  <si>
    <t xml:space="preserve">Mediating Queer and Trans Pasts: The 
Homosaurus as Queer Information Activism</t>
  </si>
  <si>
    <t xml:space="preserve">Marika Cifor, 
K.J. Rawson</t>
  </si>
  <si>
    <t xml:space="preserve">Information, Communication &amp; 
Society</t>
  </si>
  <si>
    <t xml:space="preserve">https://doi.org/10.1080/1369118X.2022.2072753</t>
  </si>
  <si>
    <t xml:space="preserve">https://www.tandfonline.com/doi/full/10.1080
/1369118X.2022.2072753</t>
  </si>
  <si>
    <t xml:space="preserve">Information activism; classification; queer;
transgender</t>
  </si>
  <si>
    <t xml:space="preserve">Through an extended discussion of the Homosaurus,an international LGBTQ linked data vocabulary
that the authors helped to develop, this article explores how queer information activism can confront
the impoverished tools available for describing queer and trans resource.</t>
  </si>
  <si>
    <t xml:space="preserve">The Terminological Polyhedron in LGBTQ 
Terminology: Self-Naming as a Power to 
Empower in Knowledge Organization</t>
  </si>
  <si>
    <t xml:space="preserve">D. Grant Campbell, 
José Augusto Chaves Guimarães, 
Fabio Assis Pinho,
Daniel Martínez-Ávila,
Francisco Arrais Nascimento</t>
  </si>
  <si>
    <t xml:space="preserve">ISKO-Canada/US, Sixth North American 
Symposium on Knowledge Organization: 
Visualizing Knowledge Or-ganization: 
Bringing Focus to Abstract Realities, 
June 15-17, 2017, Champaign, IL, USA</t>
  </si>
  <si>
    <t xml:space="preserve">http://dx.doi.org/10.5771/0943-7444-2017-8-586</t>
  </si>
  <si>
    <t xml:space="preserve">https://www.researchgate.net/publication/322375413_The_
Terminological_Polyhedron_in_LGBTQ_Terminology_Self-Naming_
as_a_Power_to_Empower_in_Knowledge_Organization</t>
  </si>
  <si>
    <t xml:space="preserve">terms, knowledge organization, power, 
lgbtq </t>
  </si>
  <si>
    <t xml:space="preserve">To show that knowledge organization—the act of defining entities and categories and assigning specific
names to them—is a gesture of self-empowerment on many different levels. The paper aims to verify 
to what extent this “power ofself-naming” is present in th is community as well as thecategories that 
are used in the knowledge representationprocess that this power entails.</t>
  </si>
  <si>
    <t xml:space="preserve">Language and History of the LGBTQ 
Community</t>
  </si>
  <si>
    <t xml:space="preserve">Michael Haymer, 
Smitty Buckler-Amabilis,
Katherine Lawrence,
Marcus Tye</t>
  </si>
  <si>
    <t xml:space="preserve">The Equal Curriculum. Springer, Cham</t>
  </si>
  <si>
    <t xml:space="preserve">https://doi.org/10.1007/978-3-030-24025-7_1</t>
  </si>
  <si>
    <t xml:space="preserve">https://link.springer.com/chapter/10.1007/978-3-030-24025-7_1</t>
  </si>
  <si>
    <t xml:space="preserve">LGBT history, LGBT health disparities, 
Sexual identity, Sexual orientation, 
Gender identity</t>
  </si>
  <si>
    <t xml:space="preserve">Establish relationships and improving communication with the LGBTQ patients.</t>
  </si>
  <si>
    <t xml:space="preserve">Borrowing and the historical LGBTQ lexicon
Profile of a pragmatically marked field</t>
  </si>
  <si>
    <t xml:space="preserve">Nicholas Lo Vecchio</t>
  </si>
  <si>
    <t xml:space="preserve">Pragmatics &amp; Cognition 28:1 (2021), 
pp. 167–192.</t>
  </si>
  <si>
    <t xml:space="preserve">https://doi.org/10.1075/pc.00022.vec</t>
  </si>
  <si>
    <t xml:space="preserve">https://benjamins.com/catalog/pc.00022.vec</t>
  </si>
  <si>
    <t xml:space="preserve">lexicology, borrowing, loanwords, LGBTQ, 
gender, homosexuality, pragmatics, taboo</t>
  </si>
  <si>
    <t xml:space="preserve">“Don’t Say Gay” in the State of Tennessee: 
Libraries as Virtual Spaces of Resistance and 
Protectors of Human Rights of Lesbian, Gay, 
Bisexual, Transgender, and Queer (LGBTQ) 
People</t>
  </si>
  <si>
    <t xml:space="preserve">MEHRA Bharat,
GRAY LaVerne</t>
  </si>
  <si>
    <t xml:space="preserve">Proceedings of the World Library and Information 
Congress: 80th International Federation of Library 
Associations and Institutions (IFLA) General 
Conference and Council. At: Lyon, France</t>
  </si>
  <si>
    <t xml:space="preserve">https://library.ifla.org/id/eprint/1011/</t>
  </si>
  <si>
    <t xml:space="preserve">Library as a Safe Space; Promoting 
Inclusion; Collection Development</t>
  </si>
  <si>
    <t xml:space="preserve">Transcending Library Catalogs: A Comparative
Study of Controlled Terms in Library of 
Congress Subject Headings and 
User-Generated Tags in LibraryThing for
Transgender Books</t>
  </si>
  <si>
    <t xml:space="preserve">Melissa Adler </t>
  </si>
  <si>
    <t xml:space="preserve">Journal of Web Librarianship, 3:4, 309-331</t>
  </si>
  <si>
    <t xml:space="preserve">https://doi.org/10.1080/19322900903341099</t>
  </si>
  <si>
    <t xml:space="preserve">https://www.tandfonline.com/doi/abs/10.1080/19322900903341099</t>
  </si>
  <si>
    <t xml:space="preserve">folksonomies, Library of Congress Subject
Headings, controlled vocabularies, 
transgender, tagging, gender, queer, 
LibraryThing, social network sites</t>
  </si>
  <si>
    <t xml:space="preserve">Mitigating Bias in Metadata
A Use Case Using Homosaurus Linked Data </t>
  </si>
  <si>
    <t xml:space="preserve">Juliet Hardesty, 
Allison Nolan</t>
  </si>
  <si>
    <t xml:space="preserve">Information Technology and Libraries, 40(3).</t>
  </si>
  <si>
    <t xml:space="preserve">https://doi.org/10.6017/ital.v40i3.13053</t>
  </si>
  <si>
    <t xml:space="preserve">https://ejournals.bc.edu/index.php/ital/article/view/13053</t>
  </si>
  <si>
    <t xml:space="preserve">Examining how the Homosaurus, an LGBTQ+ linked data controlled vocabulary, can provide an augmented
and updated search experience to mitigate bias within a system that only uses LCSH for subject headings</t>
  </si>
  <si>
    <t xml:space="preserve">Dermatologic care for lesbian, gay, bisexual, 
and transgender persons: Terminology, 
demographics, health disparities, and 
approaches to care </t>
  </si>
  <si>
    <t xml:space="preserve">Howa Yeung, Kevin M Luk, 
Suephy C Chen, 
Brian A Ginsberg, 
Kenneth A Katz</t>
  </si>
  <si>
    <t xml:space="preserve">Journal of the American Academy of Dermatology,
Volume 80, Issue 3, Pages 581-589</t>
  </si>
  <si>
    <t xml:space="preserve">https://doi.org/10.1016/j.jaad.2018.02.042</t>
  </si>
  <si>
    <t xml:space="preserve">https://www.sciencedirect.com/science/article/abs/pii/
S019096221830327X</t>
  </si>
  <si>
    <t xml:space="preserve"> LGBT; bisexual; dermatology; gay; 
health disparities; lesbian; minority health; 
sexual minority; transgender. </t>
  </si>
  <si>
    <t xml:space="preserve">To employ culturally sensitive terminologies to obtain history on sexual orientation, gender identity, sexual
behaviors, and risk factors effectively; to deliver appropriate care for lesbian, gay, bisexual, and transgender
(LGBT) individuals by incorporating knowledge of LGBT health needs and mediators of health disparities;
 and to implement strategies in creating welcoming environments for the care of LGBT individuals in 
dermatology practices.</t>
  </si>
  <si>
    <t xml:space="preserve">Growing Up on the Wrong Side of the 
Mechitza: A Case Study of Contemporary 
Queer Jewish Language </t>
  </si>
  <si>
    <t xml:space="preserve">Ellen Perleberg,
Grace Elizabeth C. Dy</t>
  </si>
  <si>
    <t xml:space="preserve">Journal of Jewish Languages</t>
  </si>
  <si>
    <t xml:space="preserve">https://doi.org/10.1163/22134638-bja10019</t>
  </si>
  <si>
    <t xml:space="preserve">https://brill.com/view/journals/jjl/10/1/article-
p120_5.xml?ebody=abstract%2Fexcerpt</t>
  </si>
  <si>
    <t xml:space="preserve">LGBT linguistics; queer linguistics; 
gender; Seattle Jewish English </t>
  </si>
  <si>
    <t xml:space="preserve">Queerlit Database. Making Swedish LGBTQI
Literature Easily Accessible</t>
  </si>
  <si>
    <t xml:space="preserve">Jenny Bergenmar, Koraljka Golub,
Siska Humlesjö</t>
  </si>
  <si>
    <t xml:space="preserve">Proceedings of the 6th Digital Humanities in the 
Nordic and Baltic Countries Conference (DHNB 2022):
Uppsala, Sweden, March 15-18, 2022</t>
  </si>
  <si>
    <t xml:space="preserve">https://ceur-ws.org/Vol-3232/paper43.pdf</t>
  </si>
  <si>
    <t xml:space="preserve">Fiction, bibliographic database, metadata, 
gender, sexuality, subject indexing, 
linked open data</t>
  </si>
  <si>
    <t xml:space="preserve">This will make new research possible, such as gaining overviews of the development of specific themes over
 time, the presence of LGBTQI literature within or outside of the literary canon or in different genres and
 changing ideas and perceptions concerning sexualities and gender identities.</t>
  </si>
  <si>
    <t xml:space="preserve">Searching for Swedish LGBTQI
fiction: challenges and solutions</t>
  </si>
  <si>
    <t xml:space="preserve"> Journal of Documentation, Vol. 78 No. 7, pp. 464-484</t>
  </si>
  <si>
    <t xml:space="preserve">https://doi.org/10.1108/JD-06-2022-0138</t>
  </si>
  <si>
    <t xml:space="preserve">https://www.emerald.com/insight/content/doi/10.1108/JD-06-2022
-0138/full/html</t>
  </si>
  <si>
    <t xml:space="preserve">User survey, Subject indexing, Information
retrieval thesaurus, LGBTQI fiction, Search
interfaces, Subject searching</t>
  </si>
  <si>
    <t xml:space="preserve">to inform the development of a database, search interface functionalities, and an LGBTQI thesaurus
for fiction.</t>
  </si>
  <si>
    <t xml:space="preserve">Using the Homosaurus in a Public Library
Consortium: A Case Study</t>
  </si>
  <si>
    <t xml:space="preserve">Rachel K. Fischer</t>
  </si>
  <si>
    <t xml:space="preserve">Library Resources &amp; Technical Services, Vol 67(1).</t>
  </si>
  <si>
    <t xml:space="preserve"> https://doi.org/10.5860/lrts.67n1.4 </t>
  </si>
  <si>
    <t xml:space="preserve">https://www.journals.ala.org/index.php/lrts/article/view/7985</t>
  </si>
  <si>
    <t xml:space="preserve">Other libraries can  follow the recommendations in this article on how to properly make the case for the 
approval of a policy to allow an alternative controlled vocabulary in their catalog, to make it more inclusive.</t>
  </si>
</sst>
</file>

<file path=xl/styles.xml><?xml version="1.0" encoding="utf-8"?>
<styleSheet xmlns="http://schemas.openxmlformats.org/spreadsheetml/2006/main">
  <numFmts count="2">
    <numFmt numFmtId="164" formatCode="General"/>
    <numFmt numFmtId="165" formatCode="General"/>
  </numFmts>
  <fonts count="7">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sz val="11"/>
      <color rgb="FF000000"/>
      <name val="Arial"/>
      <family val="0"/>
      <charset val="1"/>
    </font>
    <font>
      <u val="single"/>
      <sz val="11"/>
      <color rgb="FF1155CC"/>
      <name val="Arial"/>
      <family val="0"/>
      <charset val="1"/>
    </font>
  </fonts>
  <fills count="5">
    <fill>
      <patternFill patternType="none"/>
    </fill>
    <fill>
      <patternFill patternType="gray125"/>
    </fill>
    <fill>
      <patternFill patternType="solid">
        <fgColor rgb="FFC9DAF8"/>
        <bgColor rgb="FFB6D7A8"/>
      </patternFill>
    </fill>
    <fill>
      <patternFill patternType="solid">
        <fgColor rgb="FFE06666"/>
        <bgColor rgb="FFFF6600"/>
      </patternFill>
    </fill>
    <fill>
      <patternFill patternType="solid">
        <fgColor rgb="FFB6D7A8"/>
        <bgColor rgb="FFC9DAF8"/>
      </patternFill>
    </fill>
  </fills>
  <borders count="2">
    <border diagonalUp="false" diagonalDown="false">
      <left/>
      <right/>
      <top/>
      <bottom/>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tru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4" fillId="4" borderId="0" xfId="0" applyFont="true" applyBorder="false" applyAlignment="true" applyProtection="true">
      <alignment horizontal="center" vertical="bottom" textRotation="0" wrapText="fals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tru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true" indent="0" shrinkToFit="false"/>
      <protection locked="true" hidden="false"/>
    </xf>
    <xf numFmtId="165" fontId="5" fillId="4"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tru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true" indent="0" shrinkToFit="false"/>
      <protection locked="true" hidden="false"/>
    </xf>
    <xf numFmtId="165" fontId="5"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i.org/10.1093/jamia/ocaa061" TargetMode="External"/><Relationship Id="rId3" Type="http://schemas.openxmlformats.org/officeDocument/2006/relationships/hyperlink" Target="https://academic.oup.com/jamia/article-abstract/27/7/1110/5858296?redirectedFrom=fulltext" TargetMode="External"/><Relationship Id="rId4" Type="http://schemas.openxmlformats.org/officeDocument/2006/relationships/hyperlink" Target="http://rave.ohiolink.edu/etdc/view?acc_num=ucin1617107411106107" TargetMode="External"/><Relationship Id="rId5" Type="http://schemas.openxmlformats.org/officeDocument/2006/relationships/hyperlink" Target="https://etd.ohiolink.edu/apexprod/rws_etd/send_file/send?accession=ucin1617107411106107&amp;disposition=inline" TargetMode="External"/><Relationship Id="rId6" Type="http://schemas.openxmlformats.org/officeDocument/2006/relationships/hyperlink" Target="https://doi.org/10.3233/SHTI190213" TargetMode="External"/><Relationship Id="rId7" Type="http://schemas.openxmlformats.org/officeDocument/2006/relationships/hyperlink" Target="https://pubmed.ncbi.nlm.nih.gov/31437915/" TargetMode="External"/><Relationship Id="rId8" Type="http://schemas.openxmlformats.org/officeDocument/2006/relationships/hyperlink" Target="https://doi.org/10.1016/j.amepre.2020.05.026" TargetMode="External"/><Relationship Id="rId9" Type="http://schemas.openxmlformats.org/officeDocument/2006/relationships/hyperlink" Target="https://www.ajpmonline.org/article/S0749-3797(20)30277-4/fulltext" TargetMode="External"/><Relationship Id="rId10" Type="http://schemas.openxmlformats.org/officeDocument/2006/relationships/hyperlink" Target="https://doi.org/10.24242/jclis.v3i2.120" TargetMode="External"/><Relationship Id="rId11" Type="http://schemas.openxmlformats.org/officeDocument/2006/relationships/hyperlink" Target="https://journals.litwinbooks.com/index.php/jclis/article/view/120/75" TargetMode="External"/><Relationship Id="rId12" Type="http://schemas.openxmlformats.org/officeDocument/2006/relationships/hyperlink" Target="https://doi.org/10.1093/jmt/thab004" TargetMode="External"/><Relationship Id="rId13" Type="http://schemas.openxmlformats.org/officeDocument/2006/relationships/hyperlink" Target="https://books.google.gr/books?hl=en&amp;lr=&amp;id%20=eIyIDwAAQBAJ&amp;oi=fnd&amp;pg=PA255&amp;dq=%20lgbtq+glossary&amp;ots=JlwH7XYccI&amp;sig=RTS4%20KXXcz1bA0_ALLXxqLd_euk8&amp;redir_esc=y" TargetMode="External"/><Relationship Id="rId14" Type="http://schemas.openxmlformats.org/officeDocument/2006/relationships/hyperlink" Target="https://is.muni.cz/th/nw8pd/Translating_Queer_Identities_-_A_Glossary_of_Terms.pdf" TargetMode="External"/><Relationship Id="rId15" Type="http://schemas.openxmlformats.org/officeDocument/2006/relationships/hyperlink" Target="https://zenodo.org/record/6814869" TargetMode="External"/><Relationship Id="rId16" Type="http://schemas.openxmlformats.org/officeDocument/2006/relationships/hyperlink" Target="https://studenttheses.universiteitleiden.nl/access/item%3A2711536/view" TargetMode="External"/><Relationship Id="rId17" Type="http://schemas.openxmlformats.org/officeDocument/2006/relationships/hyperlink" Target="https://doi.org/10.4324/9781315816906" TargetMode="External"/><Relationship Id="rId18" Type="http://schemas.openxmlformats.org/officeDocument/2006/relationships/hyperlink" Target="https://www.taylorfrancis.com/books/mono/10.4324/9781315816906/queer-latinx-bilingual-holly-cashman-marilyn-martin-jones" TargetMode="External"/><Relationship Id="rId19" Type="http://schemas.openxmlformats.org/officeDocument/2006/relationships/hyperlink" Target="https://doi.org/10.1016/j.cnur.2020.06.003" TargetMode="External"/><Relationship Id="rId20" Type="http://schemas.openxmlformats.org/officeDocument/2006/relationships/hyperlink" Target="https://www.nursing.theclinics.com/article/S0029-6465(20)30035-9/" TargetMode="External"/><Relationship Id="rId21" Type="http://schemas.openxmlformats.org/officeDocument/2006/relationships/hyperlink" Target="https://doi.org/10.1177/0890334419830985" TargetMode="External"/><Relationship Id="rId22" Type="http://schemas.openxmlformats.org/officeDocument/2006/relationships/hyperlink" Target="https://journals.sagepub.com/doi/abs/10.1177/0890334419830985" TargetMode="External"/><Relationship Id="rId23" Type="http://schemas.openxmlformats.org/officeDocument/2006/relationships/hyperlink" Target="https://doi.org/10.1108/S0065-283020190000045002" TargetMode="External"/><Relationship Id="rId24" Type="http://schemas.openxmlformats.org/officeDocument/2006/relationships/hyperlink" Target="https://www.emerald.com/insight/content/doi/10.1108/S0065-283020190000045002/full/html" TargetMode="External"/><Relationship Id="rId25" Type="http://schemas.openxmlformats.org/officeDocument/2006/relationships/hyperlink" Target="http://dx.doi.org/10.4135/9781483371283.n45" TargetMode="External"/><Relationship Id="rId26" Type="http://schemas.openxmlformats.org/officeDocument/2006/relationships/hyperlink" Target="https://www.researchgate.net/publication/303838314_Big_Data_Bias_in_LGBTQ_Research" TargetMode="External"/><Relationship Id="rId27" Type="http://schemas.openxmlformats.org/officeDocument/2006/relationships/hyperlink" Target="https://doi.org/10.1007/s42979-021-00977-y" TargetMode="External"/><Relationship Id="rId28" Type="http://schemas.openxmlformats.org/officeDocument/2006/relationships/hyperlink" Target="https://arxiv.org/abs/2108.10939" TargetMode="External"/><Relationship Id="rId29" Type="http://schemas.openxmlformats.org/officeDocument/2006/relationships/hyperlink" Target="https://doi.org/10.48550/arXiv.2109.00227" TargetMode="External"/><Relationship Id="rId30" Type="http://schemas.openxmlformats.org/officeDocument/2006/relationships/hyperlink" Target="https://arxiv.org/abs/2109.00227" TargetMode="External"/><Relationship Id="rId31" Type="http://schemas.openxmlformats.org/officeDocument/2006/relationships/hyperlink" Target="http://dx.doi.org/10.18653/v1/2022.ltedi-1.34" TargetMode="External"/><Relationship Id="rId32" Type="http://schemas.openxmlformats.org/officeDocument/2006/relationships/hyperlink" Target="https://aclanthology.org/2022.ltedi-1.34/" TargetMode="External"/><Relationship Id="rId33" Type="http://schemas.openxmlformats.org/officeDocument/2006/relationships/hyperlink" Target="https://doi.org/10.1080/01639374.2022.2090040" TargetMode="External"/><Relationship Id="rId34" Type="http://schemas.openxmlformats.org/officeDocument/2006/relationships/hyperlink" Target="https://www.tandfonline.com/doi/abs/10.1080/01639374.2022.2090040?journalCode=wccq20" TargetMode="External"/><Relationship Id="rId35" Type="http://schemas.openxmlformats.org/officeDocument/2006/relationships/hyperlink" Target="https://doi.org/10.1080/1369118X.2022.2072753" TargetMode="External"/><Relationship Id="rId36" Type="http://schemas.openxmlformats.org/officeDocument/2006/relationships/hyperlink" Target="https://www.tandfonline.com/doi/full/10.1080/1369118X.2022.2072753" TargetMode="External"/><Relationship Id="rId37" Type="http://schemas.openxmlformats.org/officeDocument/2006/relationships/hyperlink" Target="http://dx.doi.org/10.5771/0943-7444-2017-8-586" TargetMode="External"/><Relationship Id="rId38" Type="http://schemas.openxmlformats.org/officeDocument/2006/relationships/hyperlink" Target="https://www.researchgate.net/publication/322375413_The_Terminological_Polyhedron_in_LGBTQ_Terminology_Self-Naming_as_a_Power_to_Empower_in_Knowledge_Organization" TargetMode="External"/><Relationship Id="rId39" Type="http://schemas.openxmlformats.org/officeDocument/2006/relationships/hyperlink" Target="https://doi.org/10.1007/978-3-030-24025-7_1" TargetMode="External"/><Relationship Id="rId40" Type="http://schemas.openxmlformats.org/officeDocument/2006/relationships/hyperlink" Target="https://link.springer.com/chapter/10.1007/978-3-030-24025-7_1" TargetMode="External"/><Relationship Id="rId41" Type="http://schemas.openxmlformats.org/officeDocument/2006/relationships/hyperlink" Target="https://doi.org/10.1075/pc.00022.vec" TargetMode="External"/><Relationship Id="rId42" Type="http://schemas.openxmlformats.org/officeDocument/2006/relationships/hyperlink" Target="https://benjamins.com/catalog/pc.00022.vec" TargetMode="External"/><Relationship Id="rId43" Type="http://schemas.openxmlformats.org/officeDocument/2006/relationships/hyperlink" Target="https://library.ifla.org/id/eprint/1011/" TargetMode="External"/><Relationship Id="rId44" Type="http://schemas.openxmlformats.org/officeDocument/2006/relationships/hyperlink" Target="https://doi.org/10.1080/19322900903341099" TargetMode="External"/><Relationship Id="rId45" Type="http://schemas.openxmlformats.org/officeDocument/2006/relationships/hyperlink" Target="https://www.tandfonline.com/doi/abs/10.1080/19322900903341099" TargetMode="External"/><Relationship Id="rId46" Type="http://schemas.openxmlformats.org/officeDocument/2006/relationships/hyperlink" Target="https://doi.org/10.6017/ital.v40i3.13053" TargetMode="External"/><Relationship Id="rId47" Type="http://schemas.openxmlformats.org/officeDocument/2006/relationships/hyperlink" Target="https://ejournals.bc.edu/index.php/ital/article/view/13053" TargetMode="External"/><Relationship Id="rId48" Type="http://schemas.openxmlformats.org/officeDocument/2006/relationships/hyperlink" Target="https://doi.org/10.1016/j.jaad.2018.02.042" TargetMode="External"/><Relationship Id="rId49" Type="http://schemas.openxmlformats.org/officeDocument/2006/relationships/hyperlink" Target="https://www.sciencedirect.com/science/article/abs/pii/S019096221830327X" TargetMode="External"/><Relationship Id="rId50" Type="http://schemas.openxmlformats.org/officeDocument/2006/relationships/hyperlink" Target="https://doi.org/10.1163/22134638-bja10019" TargetMode="External"/><Relationship Id="rId51" Type="http://schemas.openxmlformats.org/officeDocument/2006/relationships/hyperlink" Target="https://brill.com/view/journals/jjl/10/1/article-p120_5.xml?ebody=abstract%2Fexcerpt" TargetMode="External"/><Relationship Id="rId52" Type="http://schemas.openxmlformats.org/officeDocument/2006/relationships/hyperlink" Target="https://ceur-ws.org/Vol-3232/paper43.pdf" TargetMode="External"/><Relationship Id="rId53" Type="http://schemas.openxmlformats.org/officeDocument/2006/relationships/hyperlink" Target="https://doi.org/10.1108/JD-06-2022-0138" TargetMode="External"/><Relationship Id="rId54" Type="http://schemas.openxmlformats.org/officeDocument/2006/relationships/hyperlink" Target="https://www.emerald.com/insight/content/doi/10.1108/JD-06-2022-0138/full/html" TargetMode="External"/><Relationship Id="rId55" Type="http://schemas.openxmlformats.org/officeDocument/2006/relationships/hyperlink" Target="https://doi.org/10.5860/lrts.67n1.4" TargetMode="External"/><Relationship Id="rId56" Type="http://schemas.openxmlformats.org/officeDocument/2006/relationships/hyperlink" Target="https://www.journals.ala.org/index.php/lrts/article/view/7985" TargetMode="External"/><Relationship Id="rId57"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7" activeCellId="0" sqref="O7"/>
    </sheetView>
  </sheetViews>
  <sheetFormatPr defaultColWidth="12.6328125" defaultRowHeight="15.75" zeroHeight="false" outlineLevelRow="0" outlineLevelCol="0"/>
  <cols>
    <col collapsed="false" customWidth="true" hidden="false" outlineLevel="0" max="1" min="1" style="0" width="2.75"/>
    <col collapsed="false" customWidth="true" hidden="false" outlineLevel="0" max="2" min="2" style="0" width="7.15"/>
    <col collapsed="false" customWidth="true" hidden="false" outlineLevel="0" max="3" min="3" style="0" width="43.67"/>
    <col collapsed="false" customWidth="true" hidden="false" outlineLevel="0" max="4" min="4" style="0" width="31.61"/>
    <col collapsed="false" customWidth="true" hidden="false" outlineLevel="0" max="5" min="5" style="0" width="48.52"/>
    <col collapsed="false" customWidth="true" hidden="false" outlineLevel="0" max="6" min="6" style="0" width="60.88"/>
    <col collapsed="false" customWidth="true" hidden="false" outlineLevel="0" max="7" min="7" style="0" width="171.88"/>
    <col collapsed="false" customWidth="true" hidden="false" outlineLevel="0" max="8" min="8" style="0" width="38.65"/>
    <col collapsed="false" customWidth="true" hidden="false" outlineLevel="0" max="13" min="9" style="0" width="7.53"/>
    <col collapsed="false" customWidth="true" hidden="false" outlineLevel="0" max="14" min="14" style="0" width="10.67"/>
    <col collapsed="false" customWidth="true" hidden="false" outlineLevel="0" max="15" min="15" style="0" width="95.23"/>
  </cols>
  <sheetData>
    <row r="1" customFormat="false" ht="15.75" hidden="false" customHeight="false" outlineLevel="0" collapsed="false">
      <c r="A1" s="1" t="s">
        <v>0</v>
      </c>
      <c r="B1" s="2" t="s">
        <v>1</v>
      </c>
      <c r="C1" s="2" t="s">
        <v>2</v>
      </c>
      <c r="D1" s="2" t="s">
        <v>3</v>
      </c>
      <c r="E1" s="3" t="s">
        <v>4</v>
      </c>
      <c r="F1" s="2" t="s">
        <v>5</v>
      </c>
      <c r="G1" s="2" t="s">
        <v>6</v>
      </c>
      <c r="H1" s="2" t="s">
        <v>7</v>
      </c>
      <c r="I1" s="4" t="s">
        <v>8</v>
      </c>
      <c r="J1" s="4" t="s">
        <v>9</v>
      </c>
      <c r="K1" s="4" t="s">
        <v>10</v>
      </c>
      <c r="L1" s="4" t="s">
        <v>11</v>
      </c>
      <c r="M1" s="5" t="s">
        <v>12</v>
      </c>
      <c r="N1" s="5" t="s">
        <v>13</v>
      </c>
      <c r="O1" s="2" t="s">
        <v>14</v>
      </c>
    </row>
    <row r="2" customFormat="false" ht="37.3" hidden="false" customHeight="false" outlineLevel="0" collapsed="false">
      <c r="A2" s="5" t="n">
        <v>1</v>
      </c>
      <c r="B2" s="6" t="n">
        <v>2020</v>
      </c>
      <c r="C2" s="7" t="s">
        <v>15</v>
      </c>
      <c r="D2" s="7" t="s">
        <v>16</v>
      </c>
      <c r="E2" s="7" t="s">
        <v>17</v>
      </c>
      <c r="F2" s="8" t="s">
        <v>18</v>
      </c>
      <c r="G2" s="9" t="s">
        <v>19</v>
      </c>
      <c r="H2" s="7" t="s">
        <v>20</v>
      </c>
      <c r="I2" s="10" t="b">
        <f aca="false">FALSE()</f>
        <v>0</v>
      </c>
      <c r="J2" s="10" t="b">
        <f aca="false">FALSE()</f>
        <v>0</v>
      </c>
      <c r="K2" s="10" t="b">
        <f aca="false">FALSE()</f>
        <v>0</v>
      </c>
      <c r="L2" s="10" t="b">
        <f aca="false">FALSE()</f>
        <v>0</v>
      </c>
      <c r="M2" s="10" t="b">
        <f aca="false">TRUE()</f>
        <v>1</v>
      </c>
      <c r="N2" s="10" t="b">
        <f aca="false">TRUE()</f>
        <v>1</v>
      </c>
      <c r="O2" s="7" t="s">
        <v>21</v>
      </c>
    </row>
    <row r="3" customFormat="false" ht="37.3" hidden="false" customHeight="false" outlineLevel="0" collapsed="false">
      <c r="A3" s="5" t="n">
        <v>2</v>
      </c>
      <c r="B3" s="6" t="n">
        <v>2021</v>
      </c>
      <c r="C3" s="7" t="s">
        <v>22</v>
      </c>
      <c r="D3" s="7" t="s">
        <v>23</v>
      </c>
      <c r="E3" s="7" t="s">
        <v>24</v>
      </c>
      <c r="F3" s="9" t="s">
        <v>25</v>
      </c>
      <c r="G3" s="9" t="s">
        <v>26</v>
      </c>
      <c r="H3" s="7" t="s">
        <v>27</v>
      </c>
      <c r="I3" s="10" t="b">
        <f aca="false">FALSE()</f>
        <v>0</v>
      </c>
      <c r="J3" s="10" t="b">
        <f aca="false">FALSE()</f>
        <v>0</v>
      </c>
      <c r="K3" s="10" t="b">
        <f aca="false">FALSE()</f>
        <v>0</v>
      </c>
      <c r="L3" s="10" t="b">
        <f aca="false">FALSE()</f>
        <v>0</v>
      </c>
      <c r="M3" s="10" t="b">
        <f aca="false">TRUE()</f>
        <v>1</v>
      </c>
      <c r="N3" s="10" t="b">
        <f aca="false">TRUE()</f>
        <v>1</v>
      </c>
      <c r="O3" s="7" t="s">
        <v>28</v>
      </c>
    </row>
    <row r="4" customFormat="false" ht="37.3" hidden="false" customHeight="false" outlineLevel="0" collapsed="false">
      <c r="A4" s="5" t="n">
        <v>3</v>
      </c>
      <c r="B4" s="6" t="n">
        <v>2019</v>
      </c>
      <c r="C4" s="7" t="s">
        <v>29</v>
      </c>
      <c r="D4" s="7" t="s">
        <v>30</v>
      </c>
      <c r="E4" s="7" t="s">
        <v>31</v>
      </c>
      <c r="F4" s="8" t="s">
        <v>32</v>
      </c>
      <c r="G4" s="8" t="s">
        <v>33</v>
      </c>
      <c r="H4" s="7" t="s">
        <v>34</v>
      </c>
      <c r="I4" s="10" t="b">
        <f aca="false">FALSE()</f>
        <v>0</v>
      </c>
      <c r="J4" s="10" t="b">
        <f aca="false">FALSE()</f>
        <v>0</v>
      </c>
      <c r="K4" s="10" t="b">
        <f aca="false">FALSE()</f>
        <v>0</v>
      </c>
      <c r="L4" s="10" t="b">
        <f aca="false">FALSE()</f>
        <v>0</v>
      </c>
      <c r="M4" s="10" t="b">
        <f aca="false">TRUE()</f>
        <v>1</v>
      </c>
      <c r="N4" s="10" t="b">
        <f aca="false">TRUE()</f>
        <v>1</v>
      </c>
      <c r="O4" s="7" t="s">
        <v>35</v>
      </c>
    </row>
    <row r="5" customFormat="false" ht="73.45" hidden="false" customHeight="false" outlineLevel="0" collapsed="false">
      <c r="A5" s="4" t="n">
        <v>4</v>
      </c>
      <c r="B5" s="11" t="n">
        <v>2020</v>
      </c>
      <c r="C5" s="12" t="s">
        <v>36</v>
      </c>
      <c r="D5" s="12" t="s">
        <v>37</v>
      </c>
      <c r="E5" s="12" t="s">
        <v>38</v>
      </c>
      <c r="F5" s="13" t="s">
        <v>39</v>
      </c>
      <c r="G5" s="14" t="s">
        <v>40</v>
      </c>
      <c r="H5" s="12"/>
      <c r="I5" s="12" t="b">
        <f aca="false">TRUE()</f>
        <v>1</v>
      </c>
      <c r="J5" s="15" t="b">
        <f aca="false">TRUE()</f>
        <v>1</v>
      </c>
      <c r="K5" s="15" t="b">
        <f aca="false">FALSE()</f>
        <v>0</v>
      </c>
      <c r="L5" s="15" t="b">
        <f aca="false">FALSE()</f>
        <v>0</v>
      </c>
      <c r="M5" s="15" t="b">
        <f aca="false">FALSE()</f>
        <v>0</v>
      </c>
      <c r="N5" s="15" t="b">
        <f aca="false">FALSE()</f>
        <v>0</v>
      </c>
      <c r="O5" s="12" t="s">
        <v>41</v>
      </c>
    </row>
    <row r="6" customFormat="false" ht="25.3" hidden="false" customHeight="false" outlineLevel="0" collapsed="false">
      <c r="A6" s="4" t="n">
        <v>5</v>
      </c>
      <c r="B6" s="11" t="n">
        <v>2021</v>
      </c>
      <c r="C6" s="12" t="s">
        <v>42</v>
      </c>
      <c r="D6" s="12" t="s">
        <v>43</v>
      </c>
      <c r="E6" s="12" t="s">
        <v>44</v>
      </c>
      <c r="F6" s="13" t="s">
        <v>45</v>
      </c>
      <c r="G6" s="14" t="s">
        <v>46</v>
      </c>
      <c r="H6" s="12"/>
      <c r="I6" s="12" t="b">
        <f aca="false">TRUE()</f>
        <v>1</v>
      </c>
      <c r="J6" s="15" t="b">
        <f aca="false">FALSE()</f>
        <v>0</v>
      </c>
      <c r="K6" s="15" t="b">
        <f aca="false">FALSE()</f>
        <v>0</v>
      </c>
      <c r="L6" s="15" t="b">
        <f aca="false">FALSE()</f>
        <v>0</v>
      </c>
      <c r="M6" s="15" t="b">
        <f aca="false">FALSE()</f>
        <v>0</v>
      </c>
      <c r="N6" s="15" t="b">
        <f aca="false">FALSE()</f>
        <v>0</v>
      </c>
      <c r="O6" s="12"/>
    </row>
    <row r="7" customFormat="false" ht="49.35" hidden="false" customHeight="false" outlineLevel="0" collapsed="false">
      <c r="A7" s="4" t="n">
        <v>6</v>
      </c>
      <c r="B7" s="11" t="n">
        <v>2019</v>
      </c>
      <c r="C7" s="12" t="s">
        <v>47</v>
      </c>
      <c r="D7" s="12" t="s">
        <v>48</v>
      </c>
      <c r="E7" s="12" t="s">
        <v>49</v>
      </c>
      <c r="F7" s="13" t="s">
        <v>50</v>
      </c>
      <c r="G7" s="14" t="s">
        <v>51</v>
      </c>
      <c r="H7" s="12"/>
      <c r="I7" s="12" t="b">
        <f aca="false">TRUE()</f>
        <v>1</v>
      </c>
      <c r="J7" s="15" t="b">
        <f aca="false">FALSE()</f>
        <v>0</v>
      </c>
      <c r="K7" s="15" t="b">
        <f aca="false">FALSE()</f>
        <v>0</v>
      </c>
      <c r="L7" s="15" t="b">
        <f aca="false">TRUE()</f>
        <v>1</v>
      </c>
      <c r="M7" s="15" t="b">
        <f aca="false">FALSE()</f>
        <v>0</v>
      </c>
      <c r="N7" s="15" t="b">
        <f aca="false">FALSE()</f>
        <v>0</v>
      </c>
      <c r="O7" s="12"/>
    </row>
    <row r="8" customFormat="false" ht="49.35" hidden="false" customHeight="false" outlineLevel="0" collapsed="false">
      <c r="A8" s="5" t="n">
        <v>7</v>
      </c>
      <c r="B8" s="6" t="n">
        <v>2021</v>
      </c>
      <c r="C8" s="7" t="s">
        <v>52</v>
      </c>
      <c r="D8" s="7" t="s">
        <v>53</v>
      </c>
      <c r="E8" s="7" t="s">
        <v>54</v>
      </c>
      <c r="F8" s="7"/>
      <c r="G8" s="9" t="s">
        <v>55</v>
      </c>
      <c r="H8" s="7" t="s">
        <v>56</v>
      </c>
      <c r="I8" s="10" t="b">
        <f aca="false">FALSE()</f>
        <v>0</v>
      </c>
      <c r="J8" s="10" t="b">
        <f aca="false">FALSE()</f>
        <v>0</v>
      </c>
      <c r="K8" s="10" t="b">
        <f aca="false">FALSE()</f>
        <v>0</v>
      </c>
      <c r="L8" s="10" t="b">
        <f aca="false">FALSE()</f>
        <v>0</v>
      </c>
      <c r="M8" s="10" t="b">
        <f aca="false">TRUE()</f>
        <v>1</v>
      </c>
      <c r="N8" s="10" t="b">
        <f aca="false">TRUE()</f>
        <v>1</v>
      </c>
      <c r="O8" s="7" t="s">
        <v>57</v>
      </c>
    </row>
    <row r="9" customFormat="false" ht="49.35" hidden="false" customHeight="false" outlineLevel="0" collapsed="false">
      <c r="A9" s="5" t="n">
        <v>8</v>
      </c>
      <c r="B9" s="6" t="n">
        <v>2022</v>
      </c>
      <c r="C9" s="7" t="s">
        <v>58</v>
      </c>
      <c r="D9" s="7" t="s">
        <v>59</v>
      </c>
      <c r="E9" s="7" t="s">
        <v>60</v>
      </c>
      <c r="F9" s="7"/>
      <c r="G9" s="8" t="s">
        <v>61</v>
      </c>
      <c r="H9" s="7" t="s">
        <v>62</v>
      </c>
      <c r="I9" s="10" t="b">
        <f aca="false">FALSE()</f>
        <v>0</v>
      </c>
      <c r="J9" s="10" t="b">
        <f aca="false">FALSE()</f>
        <v>0</v>
      </c>
      <c r="K9" s="10" t="b">
        <f aca="false">FALSE()</f>
        <v>0</v>
      </c>
      <c r="L9" s="10" t="b">
        <f aca="false">FALSE()</f>
        <v>0</v>
      </c>
      <c r="M9" s="10" t="b">
        <f aca="false">TRUE()</f>
        <v>1</v>
      </c>
      <c r="N9" s="10" t="b">
        <f aca="false">TRUE()</f>
        <v>1</v>
      </c>
      <c r="O9" s="7" t="s">
        <v>63</v>
      </c>
    </row>
    <row r="10" customFormat="false" ht="49.35" hidden="false" customHeight="false" outlineLevel="0" collapsed="false">
      <c r="A10" s="5" t="n">
        <v>9</v>
      </c>
      <c r="B10" s="6" t="n">
        <v>2020</v>
      </c>
      <c r="C10" s="7" t="s">
        <v>64</v>
      </c>
      <c r="D10" s="7" t="s">
        <v>65</v>
      </c>
      <c r="E10" s="7" t="s">
        <v>66</v>
      </c>
      <c r="F10" s="7"/>
      <c r="G10" s="9" t="s">
        <v>67</v>
      </c>
      <c r="H10" s="7" t="s">
        <v>68</v>
      </c>
      <c r="I10" s="10" t="b">
        <f aca="false">FALSE()</f>
        <v>0</v>
      </c>
      <c r="J10" s="10" t="b">
        <f aca="false">FALSE()</f>
        <v>0</v>
      </c>
      <c r="K10" s="10" t="b">
        <f aca="false">FALSE()</f>
        <v>0</v>
      </c>
      <c r="L10" s="10" t="b">
        <f aca="false">FALSE()</f>
        <v>0</v>
      </c>
      <c r="M10" s="10" t="b">
        <f aca="false">TRUE()</f>
        <v>1</v>
      </c>
      <c r="N10" s="10" t="b">
        <f aca="false">TRUE()</f>
        <v>1</v>
      </c>
      <c r="O10" s="7" t="s">
        <v>69</v>
      </c>
    </row>
    <row r="11" customFormat="false" ht="25.3" hidden="false" customHeight="false" outlineLevel="0" collapsed="false">
      <c r="A11" s="4" t="n">
        <v>10</v>
      </c>
      <c r="B11" s="11" t="n">
        <v>2017</v>
      </c>
      <c r="C11" s="12" t="s">
        <v>70</v>
      </c>
      <c r="D11" s="12" t="s">
        <v>71</v>
      </c>
      <c r="E11" s="12" t="s">
        <v>72</v>
      </c>
      <c r="F11" s="13" t="s">
        <v>73</v>
      </c>
      <c r="G11" s="14" t="s">
        <v>74</v>
      </c>
      <c r="H11" s="12" t="s">
        <v>75</v>
      </c>
      <c r="I11" s="15" t="b">
        <f aca="false">TRUE()</f>
        <v>1</v>
      </c>
      <c r="J11" s="15" t="b">
        <f aca="false">FALSE()</f>
        <v>0</v>
      </c>
      <c r="K11" s="15" t="b">
        <f aca="false">FALSE()</f>
        <v>0</v>
      </c>
      <c r="L11" s="15" t="b">
        <f aca="false">TRUE()</f>
        <v>1</v>
      </c>
      <c r="M11" s="15" t="b">
        <f aca="false">FALSE()</f>
        <v>0</v>
      </c>
      <c r="N11" s="15" t="b">
        <f aca="false">FALSE()</f>
        <v>0</v>
      </c>
      <c r="O11" s="12"/>
    </row>
    <row r="12" customFormat="false" ht="37.3" hidden="false" customHeight="false" outlineLevel="0" collapsed="false">
      <c r="A12" s="5" t="n">
        <v>11</v>
      </c>
      <c r="B12" s="6" t="n">
        <v>2020</v>
      </c>
      <c r="C12" s="7" t="s">
        <v>76</v>
      </c>
      <c r="D12" s="7" t="s">
        <v>77</v>
      </c>
      <c r="E12" s="7" t="s">
        <v>78</v>
      </c>
      <c r="F12" s="8" t="s">
        <v>79</v>
      </c>
      <c r="G12" s="9" t="s">
        <v>80</v>
      </c>
      <c r="H12" s="7" t="s">
        <v>81</v>
      </c>
      <c r="I12" s="10" t="b">
        <f aca="false">FALSE()</f>
        <v>0</v>
      </c>
      <c r="J12" s="10" t="b">
        <f aca="false">FALSE()</f>
        <v>0</v>
      </c>
      <c r="K12" s="10" t="b">
        <f aca="false">FALSE()</f>
        <v>0</v>
      </c>
      <c r="L12" s="10" t="b">
        <f aca="false">FALSE()</f>
        <v>0</v>
      </c>
      <c r="M12" s="10" t="b">
        <f aca="false">TRUE()</f>
        <v>1</v>
      </c>
      <c r="N12" s="10" t="b">
        <f aca="false">TRUE()</f>
        <v>1</v>
      </c>
      <c r="O12" s="7" t="s">
        <v>82</v>
      </c>
    </row>
    <row r="13" customFormat="false" ht="37.3" hidden="false" customHeight="false" outlineLevel="0" collapsed="false">
      <c r="A13" s="5" t="n">
        <v>12</v>
      </c>
      <c r="B13" s="6" t="n">
        <v>2019</v>
      </c>
      <c r="C13" s="7" t="s">
        <v>83</v>
      </c>
      <c r="D13" s="7" t="s">
        <v>84</v>
      </c>
      <c r="E13" s="7" t="s">
        <v>85</v>
      </c>
      <c r="F13" s="8" t="s">
        <v>86</v>
      </c>
      <c r="G13" s="8" t="s">
        <v>87</v>
      </c>
      <c r="H13" s="7" t="s">
        <v>88</v>
      </c>
      <c r="I13" s="10" t="b">
        <f aca="false">FALSE()</f>
        <v>0</v>
      </c>
      <c r="J13" s="10" t="b">
        <f aca="false">FALSE()</f>
        <v>0</v>
      </c>
      <c r="K13" s="10" t="b">
        <f aca="false">FALSE()</f>
        <v>0</v>
      </c>
      <c r="L13" s="10" t="b">
        <f aca="false">FALSE()</f>
        <v>0</v>
      </c>
      <c r="M13" s="10" t="b">
        <f aca="false">TRUE()</f>
        <v>1</v>
      </c>
      <c r="N13" s="10" t="b">
        <f aca="false">TRUE()</f>
        <v>1</v>
      </c>
      <c r="O13" s="7" t="s">
        <v>89</v>
      </c>
    </row>
    <row r="14" customFormat="false" ht="73.45" hidden="false" customHeight="false" outlineLevel="0" collapsed="false">
      <c r="A14" s="4" t="n">
        <v>13</v>
      </c>
      <c r="B14" s="11" t="n">
        <v>2019</v>
      </c>
      <c r="C14" s="12" t="s">
        <v>90</v>
      </c>
      <c r="D14" s="12" t="s">
        <v>91</v>
      </c>
      <c r="E14" s="12" t="s">
        <v>92</v>
      </c>
      <c r="F14" s="13" t="s">
        <v>93</v>
      </c>
      <c r="G14" s="14" t="s">
        <v>94</v>
      </c>
      <c r="H14" s="12" t="s">
        <v>95</v>
      </c>
      <c r="I14" s="15" t="b">
        <f aca="false">FALSE()</f>
        <v>0</v>
      </c>
      <c r="J14" s="15" t="b">
        <f aca="false">TRUE()</f>
        <v>1</v>
      </c>
      <c r="K14" s="15" t="b">
        <f aca="false">FALSE()</f>
        <v>0</v>
      </c>
      <c r="L14" s="15" t="b">
        <f aca="false">FALSE()</f>
        <v>0</v>
      </c>
      <c r="M14" s="15" t="b">
        <f aca="false">TRUE()</f>
        <v>1</v>
      </c>
      <c r="N14" s="15" t="b">
        <f aca="false">TRUE()</f>
        <v>1</v>
      </c>
      <c r="O14" s="12" t="s">
        <v>96</v>
      </c>
    </row>
    <row r="15" customFormat="false" ht="37.3" hidden="false" customHeight="false" outlineLevel="0" collapsed="false">
      <c r="A15" s="4" t="n">
        <v>14</v>
      </c>
      <c r="B15" s="11" t="n">
        <v>2016</v>
      </c>
      <c r="C15" s="12" t="s">
        <v>97</v>
      </c>
      <c r="D15" s="12" t="s">
        <v>98</v>
      </c>
      <c r="E15" s="12" t="s">
        <v>99</v>
      </c>
      <c r="F15" s="13" t="s">
        <v>100</v>
      </c>
      <c r="G15" s="14" t="s">
        <v>101</v>
      </c>
      <c r="H15" s="12" t="s">
        <v>102</v>
      </c>
      <c r="I15" s="15" t="b">
        <f aca="false">TRUE()</f>
        <v>1</v>
      </c>
      <c r="J15" s="15" t="b">
        <f aca="false">FALSE()</f>
        <v>0</v>
      </c>
      <c r="K15" s="15" t="b">
        <f aca="false">FALSE()</f>
        <v>0</v>
      </c>
      <c r="L15" s="15" t="b">
        <f aca="false">FALSE()</f>
        <v>0</v>
      </c>
      <c r="M15" s="15" t="b">
        <f aca="false">FALSE()</f>
        <v>0</v>
      </c>
      <c r="N15" s="15" t="b">
        <f aca="false">FALSE()</f>
        <v>0</v>
      </c>
      <c r="O15" s="12"/>
    </row>
    <row r="16" customFormat="false" ht="37.3" hidden="false" customHeight="false" outlineLevel="0" collapsed="false">
      <c r="A16" s="5" t="n">
        <v>15</v>
      </c>
      <c r="B16" s="6" t="n">
        <v>2021</v>
      </c>
      <c r="C16" s="7" t="s">
        <v>103</v>
      </c>
      <c r="D16" s="7" t="s">
        <v>104</v>
      </c>
      <c r="E16" s="7" t="s">
        <v>105</v>
      </c>
      <c r="F16" s="8" t="s">
        <v>106</v>
      </c>
      <c r="G16" s="8" t="s">
        <v>107</v>
      </c>
      <c r="H16" s="7" t="s">
        <v>108</v>
      </c>
      <c r="I16" s="10" t="b">
        <f aca="false">FALSE()</f>
        <v>0</v>
      </c>
      <c r="J16" s="10" t="b">
        <f aca="false">FALSE()</f>
        <v>0</v>
      </c>
      <c r="K16" s="10" t="b">
        <f aca="false">FALSE()</f>
        <v>0</v>
      </c>
      <c r="L16" s="10" t="b">
        <f aca="false">FALSE()</f>
        <v>0</v>
      </c>
      <c r="M16" s="10" t="b">
        <f aca="false">TRUE()</f>
        <v>1</v>
      </c>
      <c r="N16" s="10" t="b">
        <f aca="false">TRUE()</f>
        <v>1</v>
      </c>
      <c r="O16" s="7" t="s">
        <v>109</v>
      </c>
    </row>
    <row r="17" customFormat="false" ht="109.6" hidden="false" customHeight="false" outlineLevel="0" collapsed="false">
      <c r="A17" s="5" t="n">
        <v>16</v>
      </c>
      <c r="B17" s="6" t="n">
        <v>2021</v>
      </c>
      <c r="C17" s="7" t="s">
        <v>110</v>
      </c>
      <c r="D17" s="7" t="s">
        <v>111</v>
      </c>
      <c r="E17" s="7" t="s">
        <v>112</v>
      </c>
      <c r="F17" s="8" t="s">
        <v>113</v>
      </c>
      <c r="G17" s="8" t="s">
        <v>114</v>
      </c>
      <c r="H17" s="7" t="s">
        <v>115</v>
      </c>
      <c r="I17" s="10" t="b">
        <f aca="false">FALSE()</f>
        <v>0</v>
      </c>
      <c r="J17" s="10" t="b">
        <f aca="false">FALSE()</f>
        <v>0</v>
      </c>
      <c r="K17" s="10" t="b">
        <f aca="false">FALSE()</f>
        <v>0</v>
      </c>
      <c r="L17" s="10" t="b">
        <f aca="false">FALSE()</f>
        <v>0</v>
      </c>
      <c r="M17" s="10" t="b">
        <f aca="false">TRUE()</f>
        <v>1</v>
      </c>
      <c r="N17" s="10" t="b">
        <f aca="false">TRUE()</f>
        <v>1</v>
      </c>
      <c r="O17" s="7" t="s">
        <v>116</v>
      </c>
    </row>
    <row r="18" customFormat="false" ht="49.35" hidden="false" customHeight="false" outlineLevel="0" collapsed="false">
      <c r="A18" s="5" t="n">
        <v>17</v>
      </c>
      <c r="B18" s="6" t="n">
        <v>2022</v>
      </c>
      <c r="C18" s="7" t="s">
        <v>117</v>
      </c>
      <c r="D18" s="7" t="s">
        <v>118</v>
      </c>
      <c r="E18" s="7" t="s">
        <v>119</v>
      </c>
      <c r="F18" s="8" t="s">
        <v>120</v>
      </c>
      <c r="G18" s="8" t="s">
        <v>121</v>
      </c>
      <c r="H18" s="7"/>
      <c r="I18" s="7" t="b">
        <f aca="false">FALSE()</f>
        <v>0</v>
      </c>
      <c r="J18" s="10" t="b">
        <f aca="false">FALSE()</f>
        <v>0</v>
      </c>
      <c r="K18" s="10" t="b">
        <f aca="false">FALSE()</f>
        <v>0</v>
      </c>
      <c r="L18" s="10" t="b">
        <f aca="false">FALSE()</f>
        <v>0</v>
      </c>
      <c r="M18" s="10" t="b">
        <f aca="false">TRUE()</f>
        <v>1</v>
      </c>
      <c r="N18" s="10" t="b">
        <f aca="false">TRUE()</f>
        <v>1</v>
      </c>
      <c r="O18" s="7" t="s">
        <v>122</v>
      </c>
    </row>
    <row r="19" customFormat="false" ht="49.35" hidden="false" customHeight="false" outlineLevel="0" collapsed="false">
      <c r="A19" s="4" t="n">
        <v>18</v>
      </c>
      <c r="B19" s="11" t="n">
        <v>2022</v>
      </c>
      <c r="C19" s="12" t="s">
        <v>123</v>
      </c>
      <c r="D19" s="12" t="s">
        <v>124</v>
      </c>
      <c r="E19" s="12" t="s">
        <v>125</v>
      </c>
      <c r="F19" s="13" t="s">
        <v>126</v>
      </c>
      <c r="G19" s="14" t="s">
        <v>127</v>
      </c>
      <c r="H19" s="12" t="s">
        <v>128</v>
      </c>
      <c r="I19" s="15" t="b">
        <f aca="false">FALSE()</f>
        <v>0</v>
      </c>
      <c r="J19" s="15" t="b">
        <f aca="false">TRUE()</f>
        <v>1</v>
      </c>
      <c r="K19" s="15" t="b">
        <f aca="false">FALSE()</f>
        <v>0</v>
      </c>
      <c r="L19" s="15" t="b">
        <f aca="false">TRUE()</f>
        <v>1</v>
      </c>
      <c r="M19" s="15" t="b">
        <f aca="false">TRUE()</f>
        <v>1</v>
      </c>
      <c r="N19" s="15" t="b">
        <f aca="false">FALSE()</f>
        <v>0</v>
      </c>
      <c r="O19" s="12"/>
    </row>
    <row r="20" customFormat="false" ht="37.3" hidden="false" customHeight="false" outlineLevel="0" collapsed="false">
      <c r="A20" s="5" t="n">
        <v>19</v>
      </c>
      <c r="B20" s="6" t="n">
        <v>2022</v>
      </c>
      <c r="C20" s="7" t="s">
        <v>129</v>
      </c>
      <c r="D20" s="7" t="s">
        <v>130</v>
      </c>
      <c r="E20" s="7" t="s">
        <v>131</v>
      </c>
      <c r="F20" s="8" t="s">
        <v>132</v>
      </c>
      <c r="G20" s="9" t="s">
        <v>133</v>
      </c>
      <c r="H20" s="7" t="s">
        <v>134</v>
      </c>
      <c r="I20" s="10" t="b">
        <f aca="false">FALSE()</f>
        <v>0</v>
      </c>
      <c r="J20" s="10" t="b">
        <f aca="false">FALSE()</f>
        <v>0</v>
      </c>
      <c r="K20" s="10" t="b">
        <f aca="false">FALSE()</f>
        <v>0</v>
      </c>
      <c r="L20" s="10" t="b">
        <f aca="false">FALSE()</f>
        <v>0</v>
      </c>
      <c r="M20" s="10" t="b">
        <f aca="false">TRUE()</f>
        <v>1</v>
      </c>
      <c r="N20" s="10" t="b">
        <f aca="false">TRUE()</f>
        <v>1</v>
      </c>
      <c r="O20" s="7" t="s">
        <v>135</v>
      </c>
    </row>
    <row r="21" customFormat="false" ht="61.4" hidden="false" customHeight="false" outlineLevel="0" collapsed="false">
      <c r="A21" s="5" t="n">
        <v>20</v>
      </c>
      <c r="B21" s="6" t="n">
        <v>2017</v>
      </c>
      <c r="C21" s="7" t="s">
        <v>136</v>
      </c>
      <c r="D21" s="7" t="s">
        <v>137</v>
      </c>
      <c r="E21" s="7" t="s">
        <v>138</v>
      </c>
      <c r="F21" s="8" t="s">
        <v>139</v>
      </c>
      <c r="G21" s="9" t="s">
        <v>140</v>
      </c>
      <c r="H21" s="7" t="s">
        <v>141</v>
      </c>
      <c r="I21" s="10" t="b">
        <f aca="false">FALSE()</f>
        <v>0</v>
      </c>
      <c r="J21" s="10" t="b">
        <f aca="false">FALSE()</f>
        <v>0</v>
      </c>
      <c r="K21" s="10" t="b">
        <f aca="false">FALSE()</f>
        <v>0</v>
      </c>
      <c r="L21" s="10" t="b">
        <f aca="false">FALSE()</f>
        <v>0</v>
      </c>
      <c r="M21" s="10" t="b">
        <f aca="false">TRUE()</f>
        <v>1</v>
      </c>
      <c r="N21" s="10" t="b">
        <f aca="false">TRUE()</f>
        <v>1</v>
      </c>
      <c r="O21" s="7" t="s">
        <v>142</v>
      </c>
    </row>
    <row r="22" customFormat="false" ht="49.35" hidden="false" customHeight="false" outlineLevel="0" collapsed="false">
      <c r="A22" s="5" t="n">
        <v>21</v>
      </c>
      <c r="B22" s="6" t="n">
        <v>2019</v>
      </c>
      <c r="C22" s="7" t="s">
        <v>143</v>
      </c>
      <c r="D22" s="7" t="s">
        <v>144</v>
      </c>
      <c r="E22" s="7" t="s">
        <v>145</v>
      </c>
      <c r="F22" s="8" t="s">
        <v>146</v>
      </c>
      <c r="G22" s="8" t="s">
        <v>147</v>
      </c>
      <c r="H22" s="7" t="s">
        <v>148</v>
      </c>
      <c r="I22" s="10" t="b">
        <f aca="false">FALSE()</f>
        <v>0</v>
      </c>
      <c r="J22" s="10" t="b">
        <f aca="false">FALSE()</f>
        <v>0</v>
      </c>
      <c r="K22" s="10" t="b">
        <f aca="false">FALSE()</f>
        <v>0</v>
      </c>
      <c r="L22" s="10" t="b">
        <f aca="false">FALSE()</f>
        <v>0</v>
      </c>
      <c r="M22" s="10" t="b">
        <f aca="false">TRUE()</f>
        <v>1</v>
      </c>
      <c r="N22" s="10" t="b">
        <f aca="false">TRUE()</f>
        <v>1</v>
      </c>
      <c r="O22" s="7" t="s">
        <v>149</v>
      </c>
    </row>
    <row r="23" customFormat="false" ht="25.3" hidden="false" customHeight="false" outlineLevel="0" collapsed="false">
      <c r="A23" s="4" t="n">
        <v>22</v>
      </c>
      <c r="B23" s="11" t="n">
        <v>2022</v>
      </c>
      <c r="C23" s="12" t="s">
        <v>150</v>
      </c>
      <c r="D23" s="12" t="s">
        <v>151</v>
      </c>
      <c r="E23" s="12" t="s">
        <v>152</v>
      </c>
      <c r="F23" s="13" t="s">
        <v>153</v>
      </c>
      <c r="G23" s="13" t="s">
        <v>154</v>
      </c>
      <c r="H23" s="12" t="s">
        <v>155</v>
      </c>
      <c r="I23" s="15" t="b">
        <f aca="false">FALSE()</f>
        <v>0</v>
      </c>
      <c r="J23" s="15" t="b">
        <f aca="false">FALSE()</f>
        <v>0</v>
      </c>
      <c r="K23" s="15" t="b">
        <f aca="false">FALSE()</f>
        <v>0</v>
      </c>
      <c r="L23" s="15" t="b">
        <f aca="false">TRUE()</f>
        <v>1</v>
      </c>
      <c r="M23" s="15" t="b">
        <f aca="false">TRUE()</f>
        <v>1</v>
      </c>
      <c r="N23" s="15" t="b">
        <f aca="false">FALSE()</f>
        <v>0</v>
      </c>
      <c r="O23" s="12"/>
    </row>
    <row r="24" customFormat="false" ht="61.4" hidden="false" customHeight="false" outlineLevel="0" collapsed="false">
      <c r="A24" s="4" t="n">
        <v>23</v>
      </c>
      <c r="B24" s="11" t="n">
        <v>2014</v>
      </c>
      <c r="C24" s="12" t="s">
        <v>156</v>
      </c>
      <c r="D24" s="12" t="s">
        <v>157</v>
      </c>
      <c r="E24" s="12" t="s">
        <v>158</v>
      </c>
      <c r="F24" s="12"/>
      <c r="G24" s="13" t="s">
        <v>159</v>
      </c>
      <c r="H24" s="12" t="s">
        <v>160</v>
      </c>
      <c r="I24" s="15" t="b">
        <f aca="false">TRUE()</f>
        <v>1</v>
      </c>
      <c r="J24" s="15" t="b">
        <f aca="false">FALSE()</f>
        <v>0</v>
      </c>
      <c r="K24" s="15" t="b">
        <f aca="false">FALSE()</f>
        <v>0</v>
      </c>
      <c r="L24" s="15" t="b">
        <f aca="false">FALSE()</f>
        <v>0</v>
      </c>
      <c r="M24" s="15" t="b">
        <f aca="false">FALSE()</f>
        <v>0</v>
      </c>
      <c r="N24" s="15" t="b">
        <f aca="false">FALSE()</f>
        <v>0</v>
      </c>
      <c r="O24" s="12"/>
    </row>
    <row r="25" customFormat="false" ht="61.4" hidden="false" customHeight="false" outlineLevel="0" collapsed="false">
      <c r="A25" s="4" t="n">
        <v>24</v>
      </c>
      <c r="B25" s="11" t="n">
        <v>2009</v>
      </c>
      <c r="C25" s="12" t="s">
        <v>161</v>
      </c>
      <c r="D25" s="12" t="s">
        <v>162</v>
      </c>
      <c r="E25" s="12" t="s">
        <v>163</v>
      </c>
      <c r="F25" s="13" t="s">
        <v>164</v>
      </c>
      <c r="G25" s="13" t="s">
        <v>165</v>
      </c>
      <c r="H25" s="12" t="s">
        <v>166</v>
      </c>
      <c r="I25" s="15" t="b">
        <f aca="false">TRUE()</f>
        <v>1</v>
      </c>
      <c r="J25" s="15" t="b">
        <f aca="false">FALSE()</f>
        <v>0</v>
      </c>
      <c r="K25" s="15" t="b">
        <f aca="false">FALSE()</f>
        <v>0</v>
      </c>
      <c r="L25" s="15" t="b">
        <f aca="false">FALSE()</f>
        <v>0</v>
      </c>
      <c r="M25" s="15" t="b">
        <f aca="false">FALSE()</f>
        <v>0</v>
      </c>
      <c r="N25" s="15" t="b">
        <f aca="false">FALSE()</f>
        <v>0</v>
      </c>
      <c r="O25" s="12"/>
    </row>
    <row r="26" customFormat="false" ht="25.3" hidden="false" customHeight="false" outlineLevel="0" collapsed="false">
      <c r="A26" s="5" t="n">
        <v>25</v>
      </c>
      <c r="B26" s="6" t="n">
        <v>2021</v>
      </c>
      <c r="C26" s="7" t="s">
        <v>167</v>
      </c>
      <c r="D26" s="7" t="s">
        <v>168</v>
      </c>
      <c r="E26" s="7" t="s">
        <v>169</v>
      </c>
      <c r="F26" s="8" t="s">
        <v>170</v>
      </c>
      <c r="G26" s="8" t="s">
        <v>171</v>
      </c>
      <c r="H26" s="7"/>
      <c r="I26" s="7" t="b">
        <f aca="false">FALSE()</f>
        <v>0</v>
      </c>
      <c r="J26" s="10" t="b">
        <f aca="false">FALSE()</f>
        <v>0</v>
      </c>
      <c r="K26" s="10" t="b">
        <f aca="false">FALSE()</f>
        <v>0</v>
      </c>
      <c r="L26" s="10" t="b">
        <f aca="false">FALSE()</f>
        <v>0</v>
      </c>
      <c r="M26" s="10" t="b">
        <f aca="false">TRUE()</f>
        <v>1</v>
      </c>
      <c r="N26" s="10" t="b">
        <f aca="false">TRUE()</f>
        <v>1</v>
      </c>
      <c r="O26" s="7" t="s">
        <v>172</v>
      </c>
    </row>
    <row r="27" customFormat="false" ht="61.4" hidden="false" customHeight="false" outlineLevel="0" collapsed="false">
      <c r="A27" s="5" t="n">
        <v>26</v>
      </c>
      <c r="B27" s="6" t="n">
        <v>2019</v>
      </c>
      <c r="C27" s="7" t="s">
        <v>173</v>
      </c>
      <c r="D27" s="7" t="s">
        <v>174</v>
      </c>
      <c r="E27" s="7" t="s">
        <v>175</v>
      </c>
      <c r="F27" s="8" t="s">
        <v>176</v>
      </c>
      <c r="G27" s="9" t="s">
        <v>177</v>
      </c>
      <c r="H27" s="7" t="s">
        <v>178</v>
      </c>
      <c r="I27" s="10" t="b">
        <f aca="false">FALSE()</f>
        <v>0</v>
      </c>
      <c r="J27" s="10" t="b">
        <f aca="false">FALSE()</f>
        <v>0</v>
      </c>
      <c r="K27" s="10" t="b">
        <f aca="false">FALSE()</f>
        <v>0</v>
      </c>
      <c r="L27" s="10" t="b">
        <f aca="false">FALSE()</f>
        <v>0</v>
      </c>
      <c r="M27" s="10" t="b">
        <f aca="false">TRUE()</f>
        <v>1</v>
      </c>
      <c r="N27" s="10" t="b">
        <f aca="false">TRUE()</f>
        <v>1</v>
      </c>
      <c r="O27" s="7" t="s">
        <v>179</v>
      </c>
    </row>
    <row r="28" customFormat="false" ht="37.3" hidden="false" customHeight="false" outlineLevel="0" collapsed="false">
      <c r="A28" s="4" t="n">
        <v>27</v>
      </c>
      <c r="B28" s="11" t="n">
        <v>2022</v>
      </c>
      <c r="C28" s="12" t="s">
        <v>180</v>
      </c>
      <c r="D28" s="12" t="s">
        <v>181</v>
      </c>
      <c r="E28" s="12" t="s">
        <v>182</v>
      </c>
      <c r="F28" s="13" t="s">
        <v>183</v>
      </c>
      <c r="G28" s="14" t="s">
        <v>184</v>
      </c>
      <c r="H28" s="12" t="s">
        <v>185</v>
      </c>
      <c r="I28" s="15" t="b">
        <f aca="false">FALSE()</f>
        <v>0</v>
      </c>
      <c r="J28" s="15" t="b">
        <f aca="false">FALSE()</f>
        <v>0</v>
      </c>
      <c r="K28" s="15" t="b">
        <f aca="false">FALSE()</f>
        <v>0</v>
      </c>
      <c r="L28" s="15" t="b">
        <f aca="false">TRUE()</f>
        <v>1</v>
      </c>
      <c r="M28" s="15" t="b">
        <f aca="false">TRUE()</f>
        <v>1</v>
      </c>
      <c r="N28" s="15" t="b">
        <f aca="false">FALSE()</f>
        <v>0</v>
      </c>
      <c r="O28" s="12"/>
    </row>
    <row r="29" customFormat="false" ht="37.3" hidden="false" customHeight="false" outlineLevel="0" collapsed="false">
      <c r="A29" s="5" t="n">
        <v>28</v>
      </c>
      <c r="B29" s="6" t="n">
        <v>2022</v>
      </c>
      <c r="C29" s="7" t="s">
        <v>186</v>
      </c>
      <c r="D29" s="7" t="s">
        <v>187</v>
      </c>
      <c r="E29" s="7" t="s">
        <v>188</v>
      </c>
      <c r="F29" s="7"/>
      <c r="G29" s="8" t="s">
        <v>189</v>
      </c>
      <c r="H29" s="7" t="s">
        <v>190</v>
      </c>
      <c r="I29" s="10" t="b">
        <f aca="false">FALSE()</f>
        <v>0</v>
      </c>
      <c r="J29" s="10" t="b">
        <f aca="false">FALSE()</f>
        <v>0</v>
      </c>
      <c r="K29" s="10" t="b">
        <f aca="false">FALSE()</f>
        <v>0</v>
      </c>
      <c r="L29" s="10" t="b">
        <f aca="false">FALSE()</f>
        <v>0</v>
      </c>
      <c r="M29" s="10" t="b">
        <f aca="false">TRUE()</f>
        <v>1</v>
      </c>
      <c r="N29" s="10" t="b">
        <f aca="false">TRUE()</f>
        <v>1</v>
      </c>
      <c r="O29" s="7" t="s">
        <v>191</v>
      </c>
    </row>
    <row r="30" customFormat="false" ht="37.3" hidden="false" customHeight="false" outlineLevel="0" collapsed="false">
      <c r="A30" s="5" t="n">
        <v>29</v>
      </c>
      <c r="B30" s="6" t="n">
        <v>2022</v>
      </c>
      <c r="C30" s="7" t="s">
        <v>192</v>
      </c>
      <c r="D30" s="7" t="s">
        <v>187</v>
      </c>
      <c r="E30" s="7" t="s">
        <v>193</v>
      </c>
      <c r="F30" s="8" t="s">
        <v>194</v>
      </c>
      <c r="G30" s="9" t="s">
        <v>195</v>
      </c>
      <c r="H30" s="7" t="s">
        <v>196</v>
      </c>
      <c r="I30" s="10" t="b">
        <f aca="false">FALSE()</f>
        <v>0</v>
      </c>
      <c r="J30" s="10" t="b">
        <f aca="false">FALSE()</f>
        <v>0</v>
      </c>
      <c r="K30" s="10" t="b">
        <f aca="false">FALSE()</f>
        <v>0</v>
      </c>
      <c r="L30" s="10" t="b">
        <f aca="false">FALSE()</f>
        <v>0</v>
      </c>
      <c r="M30" s="10" t="b">
        <f aca="false">TRUE()</f>
        <v>1</v>
      </c>
      <c r="N30" s="10" t="b">
        <f aca="false">TRUE()</f>
        <v>1</v>
      </c>
      <c r="O30" s="7" t="s">
        <v>197</v>
      </c>
    </row>
    <row r="31" customFormat="false" ht="25.3" hidden="false" customHeight="false" outlineLevel="0" collapsed="false">
      <c r="A31" s="5" t="n">
        <v>30</v>
      </c>
      <c r="B31" s="6" t="n">
        <v>2023</v>
      </c>
      <c r="C31" s="7" t="s">
        <v>198</v>
      </c>
      <c r="D31" s="7" t="s">
        <v>199</v>
      </c>
      <c r="E31" s="7" t="s">
        <v>200</v>
      </c>
      <c r="F31" s="8" t="s">
        <v>201</v>
      </c>
      <c r="G31" s="8" t="s">
        <v>202</v>
      </c>
      <c r="H31" s="7"/>
      <c r="I31" s="7" t="b">
        <f aca="false">FALSE()</f>
        <v>0</v>
      </c>
      <c r="J31" s="10" t="b">
        <f aca="false">FALSE()</f>
        <v>0</v>
      </c>
      <c r="K31" s="10" t="b">
        <f aca="false">FALSE()</f>
        <v>0</v>
      </c>
      <c r="L31" s="10" t="b">
        <f aca="false">FALSE()</f>
        <v>0</v>
      </c>
      <c r="M31" s="10" t="b">
        <f aca="false">TRUE()</f>
        <v>1</v>
      </c>
      <c r="N31" s="10" t="b">
        <f aca="false">TRUE()</f>
        <v>1</v>
      </c>
      <c r="O31" s="7" t="s">
        <v>203</v>
      </c>
    </row>
  </sheetData>
  <hyperlinks>
    <hyperlink ref="F2" r:id="rId2" display="https://doi.org/10.1093/jamia/ocaa061"/>
    <hyperlink ref="G2" r:id="rId3" display="https://academic.oup.com/jamia/&#10;article-abstract/27/7/1110/5858296?&#10;redirectedFrom=fulltext"/>
    <hyperlink ref="F3" r:id="rId4" display="http://rave.ohiolink.edu/etdc/view?acc_num=&#10;ucin1617107411106107"/>
    <hyperlink ref="G3" r:id="rId5" display="https://etd.ohiolink.edu/apexprod/rws&#10;_etd/send_file/send?accession=ucin&#10;1617107411106107&amp;disposition=inline"/>
    <hyperlink ref="F4" r:id="rId6" display="https://doi.org/10.3233/SHTI190213"/>
    <hyperlink ref="G4" r:id="rId7" display="https://pubmed.ncbi.nlm.nih.gov/31437915/"/>
    <hyperlink ref="F5" r:id="rId8" display="https://doi.org/10.1016/j.amepre.2020.05.026"/>
    <hyperlink ref="G5" r:id="rId9" display="https://www.ajpmonline.org/article/S0749-&#10;3797(20)30277-4/fulltext"/>
    <hyperlink ref="F6" r:id="rId10" display="https://doi.org/10.24242/jclis.v3i2.120"/>
    <hyperlink ref="G6" r:id="rId11" display="https://journals.litwinbooks.com/index.php/&#10;jclis/article/view/120/75"/>
    <hyperlink ref="F7" r:id="rId12" display="https://doi.org/10.1093/jmt/thab004"/>
    <hyperlink ref="G7" r:id="rId13" location="v%20=onepage&amp;q&amp;f=false" display="https://books.google.gr/books?hl=en&amp;lr=&amp;id&#10;=eIyIDwAAQBAJ&amp;oi=fnd&amp;pg=PA255&amp;dq=&#10;lgbtq+glossary&amp;ots=JlwH7XYccI&amp;sig=RTS4&#10;KXXcz1bA0_ALLXxqLd_euk8&amp;redir_esc=y#v&#10;=onepage&amp;q&amp;f=false"/>
    <hyperlink ref="G8" r:id="rId14" display="https://is.muni.cz/th/nw8pd/Translating_&#10;Queer_Identities_-_A_Glossary_of_Terms.pdf"/>
    <hyperlink ref="G9" r:id="rId15" location=".Y9UmGa3MJPY" display="https://zenodo.org/record/6814869#.Y9UmGa3MJPY"/>
    <hyperlink ref="G10" r:id="rId16" display="https://studenttheses.universiteitleiden.nl/access/item%&#10;3A2711536/view"/>
    <hyperlink ref="F11" r:id="rId17" display="https://doi.org/10.4324/9781315816906"/>
    <hyperlink ref="G11" r:id="rId18" display="https://www.taylorfrancis.com/books/mono/10.4324/97813158&#10;16906/queer-latinx-bilingual-holly-cashman-marilyn-martin&#10;-jones"/>
    <hyperlink ref="F12" r:id="rId19" display="https://doi.org/10.1016/j.cnur.2020.06.003"/>
    <hyperlink ref="G12" r:id="rId20" display="https://www.nursing.theclinics.com/article/S0029-6465(20)&#10;30035-9/"/>
    <hyperlink ref="F13" r:id="rId21" display="https://doi.org/10.1177/0890334419830985"/>
    <hyperlink ref="G13" r:id="rId22" display="https://journals.sagepub.com/doi/abs/10.1177/0890334419830985"/>
    <hyperlink ref="F14" r:id="rId23" display="https://doi.org/10.1108/S0065-283020190000045002"/>
    <hyperlink ref="G14" r:id="rId24" display="https://www.emerald.com/insight/content/doi/&#10;10.1108/S0065-283020190000045002/full/html"/>
    <hyperlink ref="F15" r:id="rId25" display="http://dx.doi.org/10.4135/9781483371283.n45"/>
    <hyperlink ref="G15" r:id="rId26" display="https://www.researchgate.net/publication&#10;/303838314_Big_Data_Bias_in_LGBTQ_Research"/>
    <hyperlink ref="F16" r:id="rId27" display="https://doi.org/10.1007/s42979-021-00977-y"/>
    <hyperlink ref="G16" r:id="rId28" display="https://arxiv.org/abs/2108.10939"/>
    <hyperlink ref="F17" r:id="rId29" display="https://doi.org/10.48550/arXiv.2109.00227"/>
    <hyperlink ref="G17" r:id="rId30" display="https://arxiv.org/abs/2109.00227"/>
    <hyperlink ref="F18" r:id="rId31" display="http://dx.doi.org/10.18653/v1/2022.ltedi-1.34"/>
    <hyperlink ref="G18" r:id="rId32" display="https://aclanthology.org/2022.ltedi-1.34/"/>
    <hyperlink ref="F19" r:id="rId33" display="https://doi.org/10.1080/01639374.2022.2090040"/>
    <hyperlink ref="G19" r:id="rId34" display="https://www.tandfonline.com/doi/abs/10.1080&#10;/01639374.2022.2090040?journalCode=wccq20"/>
    <hyperlink ref="F20" r:id="rId35" display="https://doi.org/10.1080/1369118X.2022.2072753"/>
    <hyperlink ref="G20" r:id="rId36" display="https://www.tandfonline.com/doi/full/10.1080&#10;/1369118X.2022.2072753"/>
    <hyperlink ref="F21" r:id="rId37" display="http://dx.doi.org/10.5771/0943-7444-2017-8-586"/>
    <hyperlink ref="G21" r:id="rId38" display="https://www.researchgate.net/publication/322375413_The_&#10;Terminological_Polyhedron_in_LGBTQ_Terminology_Self-Naming_&#10;as_a_Power_to_Empower_in_Knowledge_Organization"/>
    <hyperlink ref="F22" r:id="rId39" display="https://doi.org/10.1007/978-3-030-24025-7_1"/>
    <hyperlink ref="G22" r:id="rId40" display="https://link.springer.com/chapter/10.1007/978-3-030-24025-7_1"/>
    <hyperlink ref="F23" r:id="rId41" display="https://doi.org/10.1075/pc.00022.vec"/>
    <hyperlink ref="G23" r:id="rId42" display="https://benjamins.com/catalog/pc.00022.vec"/>
    <hyperlink ref="G24" r:id="rId43" display="https://library.ifla.org/id/eprint/1011/"/>
    <hyperlink ref="F25" r:id="rId44" display="https://doi.org/10.1080/19322900903341099"/>
    <hyperlink ref="G25" r:id="rId45" display="https://www.tandfonline.com/doi/abs/10.1080/19322900903341099"/>
    <hyperlink ref="F26" r:id="rId46" display="https://doi.org/10.6017/ital.v40i3.13053"/>
    <hyperlink ref="G26" r:id="rId47" display="https://ejournals.bc.edu/index.php/ital/article/view/13053"/>
    <hyperlink ref="F27" r:id="rId48" display="https://doi.org/10.1016/j.jaad.2018.02.042"/>
    <hyperlink ref="G27" r:id="rId49" display="https://www.sciencedirect.com/science/article/abs/pii/&#10;S019096221830327X"/>
    <hyperlink ref="F28" r:id="rId50" display="https://doi.org/10.1163/22134638-bja10019"/>
    <hyperlink ref="G28" r:id="rId51" display="https://brill.com/view/journals/jjl/10/1/article-&#10;p120_5.xml?ebody=abstract%2Fexcerpt"/>
    <hyperlink ref="G29" r:id="rId52" display="https://ceur-ws.org/Vol-3232/paper43.pdf"/>
    <hyperlink ref="F30" r:id="rId53" display="https://doi.org/10.1108/JD-06-2022-0138"/>
    <hyperlink ref="G30" r:id="rId54" display="https://www.emerald.com/insight/content/doi/10.1108/JD-06-2022&#10;-0138/full/html"/>
    <hyperlink ref="F31" r:id="rId55" display=" https://doi.org/10.5860/lrts.67n1.4 "/>
    <hyperlink ref="G31" r:id="rId56" display="https://www.journals.ala.org/index.php/lrts/article/view/7985"/>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57"/>
</worksheet>
</file>

<file path=docProps/app.xml><?xml version="1.0" encoding="utf-8"?>
<Properties xmlns="http://schemas.openxmlformats.org/officeDocument/2006/extended-properties" xmlns:vt="http://schemas.openxmlformats.org/officeDocument/2006/docPropsVTypes">
  <Template/>
  <TotalTime>4</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2023-05-11T16:12:46Z</dcterms:modified>
  <cp:revision>1</cp:revision>
  <dc:subject/>
  <dc:title/>
</cp:coreProperties>
</file>